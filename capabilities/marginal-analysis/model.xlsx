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0" yWindow="500" windowWidth="28800" windowHeight="16100" tabRatio="600" firstSheet="0" activeTab="1" autoFilterDateGrouping="1"/>
  </bookViews>
  <sheets>
    <sheet xmlns:r="http://schemas.openxmlformats.org/officeDocument/2006/relationships" name="Inputs" sheetId="1" state="visible" r:id="rId1"/>
    <sheet xmlns:r="http://schemas.openxmlformats.org/officeDocument/2006/relationships" name="Solver Model" sheetId="2" state="visible" r:id="rId2"/>
    <sheet xmlns:r="http://schemas.openxmlformats.org/officeDocument/2006/relationships" name="Engine" sheetId="3" state="visible" r:id="rId3"/>
    <sheet xmlns:r="http://schemas.openxmlformats.org/officeDocument/2006/relationships" name="Marginal Analysis" sheetId="4" state="visible" r:id="rId4"/>
    <sheet xmlns:r="http://schemas.openxmlformats.org/officeDocument/2006/relationships" name="P&amp;L" sheetId="5" state="visible" r:id="rId5"/>
    <sheet xmlns:r="http://schemas.openxmlformats.org/officeDocument/2006/relationships" name="Audit" sheetId="6" state="visible" r:id="rId6"/>
  </sheets>
  <definedNames>
    <definedName name="WEEKS">Inputs!$B$4</definedName>
    <definedName name="TOTAL_BED_CAP">Inputs!$B$5</definedName>
    <definedName name="FIXED_COSTS_OTHER">Inputs!$B$8</definedName>
    <definedName name="FARMER_SALARY">Inputs!$B$11</definedName>
    <definedName name="FARMER_TOTAL_HOURS">Inputs!$B$12</definedName>
    <definedName name="FARMER_FIELD_SHARE">Inputs!$B$13</definedName>
    <definedName name="FARMER_FIELD_HOURS">Inputs!$B$14</definedName>
    <definedName name="FARMER_RATE">Inputs!$B$15</definedName>
    <definedName name="TEMP_WORKER_COST">Inputs!$B$18</definedName>
    <definedName name="TEMP_WORKER_HOURS">Inputs!$B$19</definedName>
    <definedName name="TEMP_RATE">Inputs!$B$20</definedName>
    <definedName name="MAX_TEMP_WORKERS">Inputs!$B$21</definedName>
    <definedName name="TOM_BED_CAP">Inputs!$B$25</definedName>
    <definedName name="TOM_PRICE">Inputs!$C$25</definedName>
    <definedName name="TOM_HRS_PER_BED">Inputs!$D$25</definedName>
    <definedName name="TOM_FERT_COST">Inputs!$E$25</definedName>
    <definedName name="TOM_DIM_PCT">Inputs!$F$25</definedName>
    <definedName name="CAR_BED_CAP">Inputs!$B$26</definedName>
    <definedName name="CAR_PRICE">Inputs!$C$26</definedName>
    <definedName name="CAR_HRS_PER_BED">Inputs!$D$26</definedName>
    <definedName name="CAR_FERT_COST">Inputs!$E$26</definedName>
    <definedName name="CAR_DIM_PCT">Inputs!$F$26</definedName>
    <definedName name="MES_BED_CAP">Inputs!$B$27</definedName>
    <definedName name="MES_PRICE">Inputs!$C$27</definedName>
    <definedName name="MES_HRS_PER_BED">Inputs!$D$27</definedName>
    <definedName name="MES_FERT_COST">Inputs!$E$27</definedName>
    <definedName name="MES_DIM_PCT">Inputs!$F$27</definedName>
    <definedName name="solver_adj" localSheetId="0" hidden="1">Inputs!$B$4:$B$6</definedName>
    <definedName name="solver_cvg" localSheetId="0" hidden="1">0.0001</definedName>
    <definedName name="solver_drv" localSheetId="0" hidden="1">1</definedName>
    <definedName name="solver_eng" localSheetId="0" hidden="1">1</definedName>
    <definedName name="solver_itr" localSheetId="0" hidden="1">2147483647</definedName>
    <definedName name="solver_lhs1" localSheetId="0" hidden="1">Inputs!$B$4</definedName>
    <definedName name="solver_lhs2" localSheetId="0" hidden="1">Inputs!$B$4:$B$6</definedName>
    <definedName name="solver_lhs3" localSheetId="0" hidden="1">Inputs!$B$5</definedName>
    <definedName name="solver_lhs4" localSheetId="0" hidden="1">Inputs!$B$6</definedName>
    <definedName name="solver_lhs5" localSheetId="0" hidden="1">Inputs!$B$7</definedName>
    <definedName name="solver_lhs6" localSheetId="0" hidden="1">Inputs!$B$8</definedName>
    <definedName name="solver_lin" localSheetId="0" hidden="1">2</definedName>
    <definedName name="solver_mip" localSheetId="0" hidden="1">2147483647</definedName>
    <definedName name="solver_mni" localSheetId="0" hidden="1">30</definedName>
    <definedName name="solver_mrt" localSheetId="0" hidden="1">0.075</definedName>
    <definedName name="solver_msl" localSheetId="0" hidden="1">2</definedName>
    <definedName name="solver_neg" localSheetId="0" hidden="1">1</definedName>
    <definedName name="solver_nod" localSheetId="0" hidden="1">2147483647</definedName>
    <definedName name="solver_num" localSheetId="0" hidden="1">6</definedName>
    <definedName name="solver_opt" localSheetId="0" hidden="1">Inputs!$B$19</definedName>
    <definedName name="solver_pre" localSheetId="0" hidden="1">0.000001</definedName>
    <definedName name="solver_rbv" localSheetId="0" hidden="1">1</definedName>
    <definedName name="solver_rel1" localSheetId="0" hidden="1">1</definedName>
    <definedName name="solver_rel2" localSheetId="0" hidden="1">4</definedName>
    <definedName name="solver_rel3" localSheetId="0" hidden="1">1</definedName>
    <definedName name="solver_rel4" localSheetId="0" hidden="1">1</definedName>
    <definedName name="solver_rel5" localSheetId="0" hidden="1">1</definedName>
    <definedName name="solver_rel6" localSheetId="0" hidden="1">1</definedName>
    <definedName name="solver_rhs1" localSheetId="0" hidden="1">20</definedName>
    <definedName name="solver_rhs2" localSheetId="0" hidden="1">"integer"</definedName>
    <definedName name="solver_rhs3" localSheetId="0" hidden="1">20</definedName>
    <definedName name="solver_rhs4" localSheetId="0" hidden="1">30</definedName>
    <definedName name="solver_rhs5" localSheetId="0" hidden="1">64</definedName>
    <definedName name="solver_rhs6" localSheetId="0" hidden="1">4</definedName>
    <definedName name="solver_rlx" localSheetId="0" hidden="1">1</definedName>
    <definedName name="solver_rsd" localSheetId="0" hidden="1">0</definedName>
    <definedName name="solver_scl" localSheetId="0" hidden="1">2</definedName>
    <definedName name="solver_sho" localSheetId="0" hidden="1">2</definedName>
    <definedName name="solver_ssz" localSheetId="0" hidden="1">100</definedName>
    <definedName name="solver_tim" localSheetId="0" hidden="1">2147483647</definedName>
    <definedName name="solver_tol" localSheetId="0" hidden="1">0.01</definedName>
    <definedName name="solver_typ" localSheetId="0" hidden="1">1</definedName>
    <definedName name="solver_val" localSheetId="0" hidden="1">0</definedName>
    <definedName name="solver_ver" localSheetId="0" hidden="1">2</definedName>
    <definedName name="solver_adj" localSheetId="1" hidden="1">'Solver Model'!$B$4:$B$6</definedName>
    <definedName name="solver_cvg" localSheetId="1" hidden="1">0.0001</definedName>
    <definedName name="solver_drv" localSheetId="1" hidden="1">1</definedName>
    <definedName name="solver_eng" localSheetId="1" hidden="1">1</definedName>
    <definedName name="solver_itr" localSheetId="1" hidden="1">2147483647</definedName>
    <definedName name="solver_lhs1" localSheetId="1" hidden="1">'Solver Model'!$B$4</definedName>
    <definedName name="solver_lhs2" localSheetId="1" hidden="1">'Solver Model'!$B$4:$B$6</definedName>
    <definedName name="solver_lhs3" localSheetId="1" hidden="1">'Solver Model'!$B$5</definedName>
    <definedName name="solver_lhs4" localSheetId="1" hidden="1">'Solver Model'!$B$6</definedName>
    <definedName name="solver_lhs5" localSheetId="1" hidden="1">'Solver Model'!$B$7</definedName>
    <definedName name="solver_lhs6" localSheetId="1" hidden="1">'Solver Model'!$B$8</definedName>
    <definedName name="solver_lin" localSheetId="1" hidden="1">2</definedName>
    <definedName name="solver_mip" localSheetId="1" hidden="1">2147483647</definedName>
    <definedName name="solver_mni" localSheetId="1" hidden="1">30</definedName>
    <definedName name="solver_mrt" localSheetId="1" hidden="1">0.075</definedName>
    <definedName name="solver_msl" localSheetId="1" hidden="1">2</definedName>
    <definedName name="solver_neg" localSheetId="1" hidden="1">1</definedName>
    <definedName name="solver_nod" localSheetId="1" hidden="1">2147483647</definedName>
    <definedName name="solver_num" localSheetId="1" hidden="1">6</definedName>
    <definedName name="solver_opt" localSheetId="1" hidden="1">'Solver Model'!$B$19</definedName>
    <definedName name="solver_pre" localSheetId="1" hidden="1">0.000001</definedName>
    <definedName name="solver_rbv" localSheetId="1" hidden="1">1</definedName>
    <definedName name="solver_rel1" localSheetId="1" hidden="1">1</definedName>
    <definedName name="solver_rel2" localSheetId="1" hidden="1">4</definedName>
    <definedName name="solver_rel3" localSheetId="1" hidden="1">1</definedName>
    <definedName name="solver_rel4" localSheetId="1" hidden="1">1</definedName>
    <definedName name="solver_rel5" localSheetId="1" hidden="1">1</definedName>
    <definedName name="solver_rel6" localSheetId="1" hidden="1">1</definedName>
    <definedName name="solver_rhs1" localSheetId="1" hidden="1">20</definedName>
    <definedName name="solver_rhs2" localSheetId="1" hidden="1">"integer"</definedName>
    <definedName name="solver_rhs3" localSheetId="1" hidden="1">20</definedName>
    <definedName name="solver_rhs4" localSheetId="1" hidden="1">30</definedName>
    <definedName name="solver_rhs5" localSheetId="1" hidden="1">64</definedName>
    <definedName name="solver_rhs6" localSheetId="1" hidden="1">4</definedName>
    <definedName name="solver_rlx" localSheetId="1" hidden="1">2</definedName>
    <definedName name="solver_rsd" localSheetId="1" hidden="1">0</definedName>
    <definedName name="solver_scl" localSheetId="1" hidden="1">2</definedName>
    <definedName name="solver_sho" localSheetId="1" hidden="1">2</definedName>
    <definedName name="solver_ssz" localSheetId="1" hidden="1">100</definedName>
    <definedName name="solver_tim" localSheetId="1" hidden="1">2147483647</definedName>
    <definedName name="solver_tol" localSheetId="1" hidden="1">0.01</definedName>
    <definedName name="solver_typ" localSheetId="1" hidden="1">1</definedName>
    <definedName name="solver_val" localSheetId="1" hidden="1">0</definedName>
    <definedName name="solver_ver" localSheetId="1" hidden="1">2</definedName>
  </definedNames>
  <calcPr calcId="191029" fullCalcOnLoad="1"/>
</workbook>
</file>

<file path=xl/styles.xml><?xml version="1.0" encoding="utf-8"?>
<styleSheet xmlns="http://schemas.openxmlformats.org/spreadsheetml/2006/main">
  <numFmts count="3">
    <numFmt numFmtId="164" formatCode="\$#,##0;\(\$#,##0\);\-"/>
    <numFmt numFmtId="165" formatCode="\$#,##0.00;\(\$#,##0.00\);\-"/>
    <numFmt numFmtId="166" formatCode="#,##0.000"/>
  </numFmts>
  <fonts count="21">
    <font>
      <name val="Calibri"/>
      <family val="2"/>
      <color theme="1"/>
      <sz val="11"/>
      <scheme val="minor"/>
    </font>
    <font>
      <name val="Arial"/>
      <family val="2"/>
      <b val="1"/>
      <sz val="14"/>
    </font>
    <font>
      <name val="Arial"/>
      <family val="2"/>
      <b val="1"/>
      <color rgb="FF1F3864"/>
      <sz val="11"/>
    </font>
    <font>
      <name val="Arial"/>
      <family val="2"/>
      <sz val="11"/>
    </font>
    <font>
      <name val="Arial"/>
      <family val="2"/>
      <color rgb="FF0000FF"/>
      <sz val="11"/>
    </font>
    <font>
      <name val="Arial"/>
      <family val="2"/>
      <color rgb="FF000000"/>
      <sz val="11"/>
    </font>
    <font>
      <name val="Arial"/>
      <family val="2"/>
      <b val="1"/>
      <color rgb="FFFFFFFF"/>
      <sz val="11"/>
    </font>
    <font>
      <name val="Arial"/>
      <family val="2"/>
      <i val="1"/>
      <color rgb="FF595959"/>
      <sz val="9"/>
    </font>
    <font>
      <name val="Arial"/>
      <family val="2"/>
      <color rgb="FF008000"/>
      <sz val="11"/>
    </font>
    <font>
      <name val="Arial"/>
      <family val="2"/>
      <sz val="10"/>
    </font>
    <font>
      <name val="Arial"/>
      <family val="2"/>
      <b val="1"/>
      <sz val="11"/>
    </font>
    <font>
      <name val="Arial"/>
      <family val="2"/>
      <b val="1"/>
      <i val="1"/>
      <color rgb="FF1F3864"/>
      <sz val="11"/>
    </font>
    <font>
      <name val="Arial"/>
      <family val="2"/>
      <b val="1"/>
      <sz val="14"/>
    </font>
    <font>
      <name val="Arial"/>
      <family val="2"/>
      <i val="1"/>
      <color rgb="FF595959"/>
      <sz val="9"/>
    </font>
    <font>
      <name val="Arial"/>
      <family val="2"/>
      <b val="1"/>
      <color rgb="FF1F3864"/>
      <sz val="12"/>
    </font>
    <font>
      <name val="Arial"/>
      <family val="2"/>
      <b val="1"/>
      <color rgb="FFFFFFFF"/>
      <sz val="11"/>
    </font>
    <font>
      <name val="Arial"/>
      <family val="2"/>
      <color rgb="FF000000"/>
      <sz val="11"/>
    </font>
    <font>
      <name val="Arial"/>
      <family val="2"/>
      <color rgb="FF008000"/>
      <sz val="11"/>
    </font>
    <font>
      <name val="Arial"/>
      <family val="2"/>
      <b val="1"/>
      <color rgb="FF1F3864"/>
      <sz val="11"/>
    </font>
    <font>
      <name val="Arial"/>
      <family val="2"/>
      <sz val="11"/>
    </font>
    <font>
      <name val="Arial"/>
      <family val="2"/>
      <color rgb="FF0000FF"/>
      <sz val="11"/>
    </font>
  </fonts>
  <fills count="9">
    <fill>
      <patternFill/>
    </fill>
    <fill>
      <patternFill patternType="gray125"/>
    </fill>
    <fill>
      <patternFill patternType="solid">
        <fgColor rgb="FFD9E1F2"/>
      </patternFill>
    </fill>
    <fill>
      <patternFill patternType="solid">
        <fgColor rgb="FF1F3864"/>
      </patternFill>
    </fill>
    <fill>
      <patternFill patternType="solid">
        <fgColor rgb="FFFFFF00"/>
      </patternFill>
    </fill>
    <fill>
      <patternFill patternType="solid">
        <fgColor rgb="FF1F3864"/>
      </patternFill>
    </fill>
    <fill>
      <patternFill patternType="solid">
        <fgColor rgb="FFFCE4E4"/>
      </patternFill>
    </fill>
    <fill>
      <patternFill patternType="solid">
        <fgColor rgb="FFD9E1F2"/>
      </patternFill>
    </fill>
    <fill>
      <patternFill patternType="solid">
        <fgColor rgb="FFFF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0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2" fillId="2" borderId="0" pivotButton="0" quotePrefix="0" xfId="0"/>
    <xf numFmtId="0" fontId="0" fillId="2" borderId="0" pivotButton="0" quotePrefix="0" xfId="0"/>
    <xf numFmtId="0" fontId="3" fillId="0" borderId="0" pivotButton="0" quotePrefix="0" xfId="0"/>
    <xf numFmtId="3" fontId="4" fillId="0" borderId="0" pivotButton="0" quotePrefix="0" xfId="0"/>
    <xf numFmtId="164" fontId="4" fillId="0" borderId="0" pivotButton="0" quotePrefix="0" xfId="0"/>
    <xf numFmtId="10" fontId="4" fillId="0" borderId="0" pivotButton="0" quotePrefix="0" xfId="0"/>
    <xf numFmtId="4" fontId="5" fillId="0" borderId="0" pivotButton="0" quotePrefix="0" xfId="0"/>
    <xf numFmtId="165" fontId="5" fillId="0" borderId="0" pivotButton="0" quotePrefix="0" xfId="0"/>
    <xf numFmtId="0" fontId="6" fillId="3" borderId="0" applyAlignment="1" pivotButton="0" quotePrefix="0" xfId="0">
      <alignment horizontal="center" vertical="center" wrapText="1"/>
    </xf>
    <xf numFmtId="0" fontId="5" fillId="0" borderId="0" pivotButton="0" quotePrefix="0" xfId="0"/>
    <xf numFmtId="166" fontId="4" fillId="0" borderId="0" pivotButton="0" quotePrefix="0" xfId="0"/>
    <xf numFmtId="0" fontId="1" fillId="0" borderId="0" pivotButton="0" quotePrefix="0" xfId="0"/>
    <xf numFmtId="3" fontId="4" fillId="4" borderId="0" pivotButton="0" quotePrefix="0" xfId="0"/>
    <xf numFmtId="3" fontId="5" fillId="0" borderId="0" pivotButton="0" quotePrefix="0" xfId="0"/>
    <xf numFmtId="3" fontId="8" fillId="0" borderId="0" pivotButton="0" quotePrefix="0" xfId="0"/>
    <xf numFmtId="164" fontId="8" fillId="0" borderId="0" pivotButton="0" quotePrefix="0" xfId="0"/>
    <xf numFmtId="0" fontId="6" fillId="3" borderId="0" applyAlignment="1" pivotButton="0" quotePrefix="0" xfId="0">
      <alignment horizontal="center" wrapText="1"/>
    </xf>
    <xf numFmtId="164" fontId="4" fillId="4" borderId="0" pivotButton="0" quotePrefix="0" xfId="0"/>
    <xf numFmtId="0" fontId="4" fillId="4" borderId="0" pivotButton="0" quotePrefix="0" xfId="0"/>
    <xf numFmtId="0" fontId="10" fillId="0" borderId="0" pivotButton="0" quotePrefix="0" xfId="0"/>
    <xf numFmtId="166" fontId="8" fillId="0" borderId="0" pivotButton="0" quotePrefix="0" xfId="0"/>
    <xf numFmtId="10" fontId="8" fillId="0" borderId="0" pivotButton="0" quotePrefix="0" xfId="0"/>
    <xf numFmtId="4" fontId="10" fillId="0" borderId="0" pivotButton="0" quotePrefix="0" xfId="0"/>
    <xf numFmtId="0" fontId="4" fillId="0" borderId="0" pivotButton="0" quotePrefix="0" xfId="0"/>
    <xf numFmtId="164" fontId="5" fillId="0" borderId="0" pivotButton="0" quotePrefix="0" xfId="0"/>
    <xf numFmtId="0" fontId="6" fillId="3" borderId="0" applyAlignment="1" pivotButton="0" quotePrefix="0" xfId="0">
      <alignment horizontal="center"/>
    </xf>
    <xf numFmtId="3" fontId="10" fillId="0" borderId="0" pivotButton="0" quotePrefix="0" xfId="0"/>
    <xf numFmtId="164" fontId="10" fillId="0" borderId="0" pivotButton="0" quotePrefix="0" xfId="0"/>
    <xf numFmtId="4" fontId="8" fillId="0" borderId="0" pivotButton="0" quotePrefix="0" xfId="0"/>
    <xf numFmtId="0" fontId="6" fillId="3" borderId="0" pivotButton="0" quotePrefix="0" xfId="0"/>
    <xf numFmtId="0" fontId="14" fillId="0" borderId="0" pivotButton="0" quotePrefix="0" xfId="0"/>
    <xf numFmtId="0" fontId="15" fillId="5" borderId="0" applyAlignment="1" pivotButton="0" quotePrefix="0" xfId="0">
      <alignment horizontal="center" vertical="center" wrapText="1"/>
    </xf>
    <xf numFmtId="0" fontId="16" fillId="0" borderId="0" pivotButton="0" quotePrefix="0" xfId="0"/>
    <xf numFmtId="4" fontId="16" fillId="0" borderId="0" pivotButton="0" quotePrefix="0" xfId="0"/>
    <xf numFmtId="164" fontId="16" fillId="0" borderId="0" pivotButton="0" quotePrefix="0" xfId="0"/>
    <xf numFmtId="164" fontId="17" fillId="0" borderId="0" pivotButton="0" quotePrefix="0" xfId="0"/>
    <xf numFmtId="0" fontId="16" fillId="6" borderId="0" pivotButton="0" quotePrefix="0" xfId="0"/>
    <xf numFmtId="4" fontId="16" fillId="6" borderId="0" pivotButton="0" quotePrefix="0" xfId="0"/>
    <xf numFmtId="164" fontId="16" fillId="6" borderId="0" pivotButton="0" quotePrefix="0" xfId="0"/>
    <xf numFmtId="164" fontId="17" fillId="6" borderId="0" pivotButton="0" quotePrefix="0" xfId="0"/>
    <xf numFmtId="0" fontId="18" fillId="7" borderId="0" pivotButton="0" quotePrefix="0" xfId="0"/>
    <xf numFmtId="0" fontId="0" fillId="7" borderId="0" pivotButton="0" quotePrefix="0" xfId="0"/>
    <xf numFmtId="0" fontId="19" fillId="0" borderId="0" pivotButton="0" quotePrefix="0" xfId="0"/>
    <xf numFmtId="3" fontId="20" fillId="8" borderId="0" pivotButton="0" quotePrefix="0" xfId="0"/>
    <xf numFmtId="3" fontId="16" fillId="0" borderId="0" pivotButton="0" quotePrefix="0" xfId="0"/>
    <xf numFmtId="3" fontId="17" fillId="0" borderId="0" pivotButton="0" quotePrefix="0" xfId="0"/>
    <xf numFmtId="0" fontId="19" fillId="2" borderId="0" pivotButton="0" quotePrefix="0" xfId="0"/>
    <xf numFmtId="164" fontId="20" fillId="8" borderId="0" pivotButton="0" quotePrefix="0" xfId="0"/>
    <xf numFmtId="0" fontId="17" fillId="0" borderId="0" pivotButton="0" quotePrefix="0" xfId="0"/>
    <xf numFmtId="0" fontId="7" fillId="0" borderId="0" applyAlignment="1" pivotButton="0" quotePrefix="0" xfId="0">
      <alignment vertical="top" wrapText="1"/>
    </xf>
    <xf numFmtId="0" fontId="0" fillId="0" borderId="0" pivotButton="0" quotePrefix="0" xfId="0"/>
    <xf numFmtId="0" fontId="9" fillId="0" borderId="0" pivotButton="0" quotePrefix="0" xfId="0"/>
    <xf numFmtId="0" fontId="5" fillId="0" borderId="0" applyAlignment="1" pivotButton="0" quotePrefix="0" xfId="0">
      <alignment vertical="top" wrapText="1"/>
    </xf>
    <xf numFmtId="0" fontId="11" fillId="0" borderId="0" applyAlignment="1" pivotButton="0" quotePrefix="0" xfId="0">
      <alignment vertical="top" wrapText="1"/>
    </xf>
    <xf numFmtId="0" fontId="13" fillId="0" borderId="0" applyAlignment="1" pivotButton="0" quotePrefix="0" xfId="0">
      <alignment vertical="top" wrapText="1"/>
    </xf>
    <xf numFmtId="0" fontId="12" fillId="0" borderId="0" pivotButton="0" quotePrefix="0" xfId="0"/>
    <xf numFmtId="0" fontId="1" fillId="0" borderId="0" pivotButton="0" quotePrefix="0" xfId="0"/>
    <xf numFmtId="0" fontId="8" fillId="0" borderId="0" applyAlignment="1" pivotButton="0" quotePrefix="0" xfId="0">
      <alignment vertical="top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B34" sqref="B34"/>
    </sheetView>
  </sheetViews>
  <sheetFormatPr baseColWidth="10" defaultColWidth="8.83203125" defaultRowHeight="15"/>
  <cols>
    <col width="42" customWidth="1" style="52" min="1" max="1"/>
    <col width="16" customWidth="1" style="52" min="2" max="6"/>
  </cols>
  <sheetData>
    <row r="1" ht="18" customHeight="1" s="52">
      <c r="A1" s="1" t="inlineStr">
        <is>
          <t>Perfect Competition Farm — Model Inputs</t>
        </is>
      </c>
    </row>
    <row r="3">
      <c r="A3" s="2" t="inlineStr">
        <is>
          <t>Season &amp; Farm</t>
        </is>
      </c>
      <c r="B3" s="3" t="n"/>
      <c r="C3" s="3" t="n"/>
      <c r="D3" s="3" t="n"/>
      <c r="E3" s="3" t="n"/>
      <c r="F3" s="3" t="n"/>
    </row>
    <row r="4">
      <c r="A4" s="4" t="inlineStr">
        <is>
          <t>Season length (weeks)</t>
        </is>
      </c>
      <c r="B4" s="5" t="n">
        <v>36</v>
      </c>
    </row>
    <row r="5">
      <c r="A5" s="4" t="inlineStr">
        <is>
          <t>Total beds available (16 beds x 4 plots)</t>
        </is>
      </c>
      <c r="B5" s="5" t="n">
        <v>64</v>
      </c>
    </row>
    <row r="6">
      <c r="A6" s="4" t="inlineStr">
        <is>
          <t>Beds per plot</t>
        </is>
      </c>
      <c r="B6" s="5" t="n">
        <v>16</v>
      </c>
    </row>
    <row r="7">
      <c r="A7" s="4" t="inlineStr">
        <is>
          <t>Number of plots</t>
        </is>
      </c>
      <c r="B7" s="5" t="n">
        <v>4</v>
      </c>
    </row>
    <row r="8">
      <c r="A8" s="4" t="inlineStr">
        <is>
          <t>Fixed costs ($/season)</t>
        </is>
      </c>
      <c r="B8" s="6" t="n">
        <v>20000</v>
      </c>
    </row>
    <row r="10">
      <c r="A10" s="2" t="inlineStr">
        <is>
          <t>Farmer Labor</t>
        </is>
      </c>
      <c r="B10" s="3" t="n"/>
      <c r="C10" s="3" t="n"/>
      <c r="D10" s="3" t="n"/>
      <c r="E10" s="3" t="n"/>
      <c r="F10" s="3" t="n"/>
    </row>
    <row r="11">
      <c r="A11" s="4" t="inlineStr">
        <is>
          <t>Farmer salary ($/season)</t>
        </is>
      </c>
      <c r="B11" s="6" t="n">
        <v>50000</v>
      </c>
    </row>
    <row r="12">
      <c r="A12" s="4" t="inlineStr">
        <is>
          <t>Farmer total season hours (implied)</t>
        </is>
      </c>
      <c r="B12" s="5" t="n">
        <v>1440</v>
      </c>
    </row>
    <row r="13">
      <c r="A13" s="4" t="inlineStr">
        <is>
          <t>Farmer share of time in field</t>
        </is>
      </c>
      <c r="B13" s="7" t="n">
        <v>0.5</v>
      </c>
    </row>
    <row r="14">
      <c r="A14" s="4" t="inlineStr">
        <is>
          <t>Farmer field hours (season)</t>
        </is>
      </c>
      <c r="B14" s="8">
        <f>FARMER_TOTAL_HOURS*FARMER_FIELD_SHARE</f>
        <v/>
      </c>
    </row>
    <row r="15">
      <c r="A15" s="4" t="inlineStr">
        <is>
          <t>Farmer implied hourly rate ($/hr)</t>
        </is>
      </c>
      <c r="B15" s="9">
        <f>FARMER_SALARY/FARMER_TOTAL_HOURS</f>
        <v/>
      </c>
    </row>
    <row r="17">
      <c r="A17" s="2" t="inlineStr">
        <is>
          <t>Temporary Workers</t>
        </is>
      </c>
      <c r="B17" s="3" t="n"/>
      <c r="C17" s="3" t="n"/>
      <c r="D17" s="3" t="n"/>
      <c r="E17" s="3" t="n"/>
      <c r="F17" s="3" t="n"/>
    </row>
    <row r="18">
      <c r="A18" s="4" t="inlineStr">
        <is>
          <t>Cost per temp worker ($/season)</t>
        </is>
      </c>
      <c r="B18" s="6" t="n">
        <v>25000</v>
      </c>
    </row>
    <row r="19">
      <c r="A19" s="4" t="inlineStr">
        <is>
          <t>Hours per temp worker (season)</t>
        </is>
      </c>
      <c r="B19" s="5" t="n">
        <v>1440</v>
      </c>
    </row>
    <row r="20">
      <c r="A20" s="4" t="inlineStr">
        <is>
          <t>Temp worker implied hourly rate ($/hr)</t>
        </is>
      </c>
      <c r="B20" s="9">
        <f>TEMP_WORKER_COST/TEMP_WORKER_HOURS</f>
        <v/>
      </c>
    </row>
    <row r="21">
      <c r="A21" s="4" t="inlineStr">
        <is>
          <t>Max temp workers allowed</t>
        </is>
      </c>
      <c r="B21" s="5" t="n">
        <v>4</v>
      </c>
    </row>
    <row r="23">
      <c r="A23" s="2" t="inlineStr">
        <is>
          <t>Crop Economics</t>
        </is>
      </c>
      <c r="B23" s="3" t="n"/>
      <c r="C23" s="3" t="n"/>
      <c r="D23" s="3" t="n"/>
      <c r="E23" s="3" t="n"/>
      <c r="F23" s="3" t="n"/>
    </row>
    <row r="24" ht="30" customHeight="1" s="52">
      <c r="A24" s="10" t="inlineStr">
        <is>
          <t>Crop</t>
        </is>
      </c>
      <c r="B24" s="10" t="inlineStr">
        <is>
          <t>Max beds</t>
        </is>
      </c>
      <c r="C24" s="10" t="inlineStr">
        <is>
          <t>Price $/bed</t>
        </is>
      </c>
      <c r="D24" s="10" t="inlineStr">
        <is>
          <t>Labor hrs/wk/bed</t>
        </is>
      </c>
      <c r="E24" s="10" t="inlineStr">
        <is>
          <t>Fertilizer $/bed</t>
        </is>
      </c>
      <c r="F24" s="10" t="inlineStr">
        <is>
          <t>Diminishing returns %/bed</t>
        </is>
      </c>
    </row>
    <row r="25">
      <c r="A25" s="11" t="inlineStr">
        <is>
          <t>Tomatoes</t>
        </is>
      </c>
      <c r="B25" s="5" t="n">
        <v>20</v>
      </c>
      <c r="C25" s="6" t="n">
        <v>8800</v>
      </c>
      <c r="D25" s="12" t="n">
        <v>2.5</v>
      </c>
      <c r="E25" s="6" t="n">
        <v>880</v>
      </c>
      <c r="F25" s="7" t="n">
        <v>0.1</v>
      </c>
    </row>
    <row r="26">
      <c r="A26" s="11" t="inlineStr">
        <is>
          <t>Carrots</t>
        </is>
      </c>
      <c r="B26" s="5" t="n">
        <v>20</v>
      </c>
      <c r="C26" s="6" t="n">
        <v>2094</v>
      </c>
      <c r="D26" s="12">
        <f>5/6</f>
        <v/>
      </c>
      <c r="E26" s="6" t="n">
        <v>440</v>
      </c>
      <c r="F26" s="7" t="n">
        <v>0.025</v>
      </c>
    </row>
    <row r="27">
      <c r="A27" s="11" t="inlineStr">
        <is>
          <t>Mesclun</t>
        </is>
      </c>
      <c r="B27" s="5" t="n">
        <v>30</v>
      </c>
      <c r="C27" s="6" t="n">
        <v>2700</v>
      </c>
      <c r="D27" s="12" t="n">
        <v>1.25</v>
      </c>
      <c r="E27" s="6" t="n">
        <v>880</v>
      </c>
      <c r="F27" s="7" t="n">
        <v>0.0125</v>
      </c>
    </row>
    <row r="29">
      <c r="A29" s="51" t="inlineStr">
        <is>
          <t>All figures above are given in the case data (blue = hardcoded input). Farmer field hours and hourly rates are derived by formula from the salary/hours/share inputs. Carrots' labor hrs/wk/bed is stored as the exact fraction 5/6, not the rounded 0.833 a display might show — the rounding difference alone is worth about $7 of profit at the published optimum.</t>
        </is>
      </c>
    </row>
    <row r="30"/>
  </sheetData>
  <mergeCells count="1">
    <mergeCell ref="A29:F30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4"/>
  <sheetViews>
    <sheetView tabSelected="1" topLeftCell="A21" workbookViewId="0">
      <selection activeCell="A44" sqref="A44:I44"/>
    </sheetView>
  </sheetViews>
  <sheetFormatPr baseColWidth="10" defaultColWidth="8.83203125" defaultRowHeight="15"/>
  <cols>
    <col width="46" customWidth="1" style="52" min="1" max="1"/>
    <col width="13" customWidth="1" style="52" min="2" max="8"/>
    <col width="22" customWidth="1" style="52" min="9" max="9"/>
  </cols>
  <sheetData>
    <row r="1" ht="18" customHeight="1" s="52">
      <c r="A1" s="58" t="inlineStr">
        <is>
          <t>Solver Model — Decision Variables &amp; Settings</t>
        </is>
      </c>
    </row>
    <row r="3">
      <c r="A3" s="2" t="inlineStr">
        <is>
          <t>Decision Cells (Solver's Changing Variable Cells)</t>
        </is>
      </c>
      <c r="B3" s="3" t="n"/>
    </row>
    <row r="4">
      <c r="A4" s="4" t="inlineStr">
        <is>
          <t>Beds — Tomatoes</t>
        </is>
      </c>
      <c r="B4" s="14" t="n">
        <v>10</v>
      </c>
    </row>
    <row r="5">
      <c r="A5" s="4" t="inlineStr">
        <is>
          <t>Beds — Carrots</t>
        </is>
      </c>
      <c r="B5" s="14" t="n">
        <v>20</v>
      </c>
    </row>
    <row r="6">
      <c r="A6" s="4" t="inlineStr">
        <is>
          <t>Beds — Mesclun</t>
        </is>
      </c>
      <c r="B6" s="14" t="n">
        <v>30</v>
      </c>
    </row>
    <row r="7">
      <c r="A7" s="4" t="inlineStr">
        <is>
          <t>Total beds used</t>
        </is>
      </c>
      <c r="B7" s="15">
        <f>B4+B5+B6</f>
        <v/>
      </c>
    </row>
    <row r="8">
      <c r="A8" s="4" t="inlineStr">
        <is>
          <t>Temp labor hours required (raw, linked from P&amp;L)</t>
        </is>
      </c>
      <c r="B8" s="16">
        <f>'P&amp;L'!B12</f>
        <v/>
      </c>
    </row>
    <row r="10">
      <c r="A10" s="2" t="inlineStr">
        <is>
          <t>Constraint Check</t>
        </is>
      </c>
      <c r="B10" s="3" t="n"/>
    </row>
    <row r="11">
      <c r="A11" s="4" t="inlineStr">
        <is>
          <t>Tomatoes beds &lt;= max (20)</t>
        </is>
      </c>
      <c r="B11" s="11">
        <f>IF(B4&lt;=TOM_BED_CAP,"OK","EXCEEDS")</f>
        <v/>
      </c>
    </row>
    <row r="12">
      <c r="A12" s="4" t="inlineStr">
        <is>
          <t>Carrots beds &lt;= max (20)</t>
        </is>
      </c>
      <c r="B12" s="11">
        <f>IF(B5&lt;=CAR_BED_CAP,"OK","EXCEEDS")</f>
        <v/>
      </c>
    </row>
    <row r="13">
      <c r="A13" s="4" t="inlineStr">
        <is>
          <t>Mesclun beds &lt;= max (30)</t>
        </is>
      </c>
      <c r="B13" s="11">
        <f>IF(B6&lt;=MES_BED_CAP,"OK","EXCEEDS")</f>
        <v/>
      </c>
    </row>
    <row r="14">
      <c r="A14" s="4" t="inlineStr">
        <is>
          <t>Total beds &lt;= cap (64)</t>
        </is>
      </c>
      <c r="B14" s="11">
        <f>IF(B7&lt;=TOTAL_BED_CAP,"OK","EXCEEDS")</f>
        <v/>
      </c>
    </row>
    <row r="15">
      <c r="A15" s="4" t="inlineStr">
        <is>
          <t>Temp labor hours &lt;= available (4 workers x 1,440 hrs)</t>
        </is>
      </c>
      <c r="B15" s="11">
        <f>IF(B8&lt;=MAX_TEMP_WORKERS*TEMP_WORKER_HOURS,"OK","EXCEEDS")</f>
        <v/>
      </c>
    </row>
    <row r="16">
      <c r="A16" s="51" t="inlineStr">
        <is>
          <t>Beds are non-negative integers — enforced in Solver via an "int" constraint on B4:B6 (see setup below).</t>
        </is>
      </c>
    </row>
    <row r="18">
      <c r="A18" s="2" t="inlineStr">
        <is>
          <t>Objective</t>
        </is>
      </c>
      <c r="B18" s="3" t="n"/>
    </row>
    <row r="19">
      <c r="A19" s="4" t="inlineStr">
        <is>
          <t>Profit (maximize) — linked from P&amp;L Convention A</t>
        </is>
      </c>
      <c r="B19" s="17">
        <f>'P&amp;L'!B22</f>
        <v/>
      </c>
    </row>
    <row r="21">
      <c r="A21" s="2" t="inlineStr">
        <is>
          <t>Solver Setup (Data &gt; Analysis &gt; Solver)</t>
        </is>
      </c>
      <c r="B21" s="3" t="n"/>
    </row>
    <row r="22">
      <c r="A22" s="53" t="inlineStr">
        <is>
          <t>Set Objective:  'Solver Model'!$B$19  (Profit, Convention A)   -&gt;   To: Max</t>
        </is>
      </c>
    </row>
    <row r="23">
      <c r="A23" s="53" t="inlineStr">
        <is>
          <t>By Changing Variable Cells:  'Solver Model'!$B$4:$B$6  (Beds - Tomatoes, Carrots, Mesclun)</t>
        </is>
      </c>
    </row>
    <row r="24">
      <c r="A24" s="53" t="inlineStr">
        <is>
          <t>Subject to the Constraints:</t>
        </is>
      </c>
    </row>
    <row r="25">
      <c r="A25" s="53" t="inlineStr">
        <is>
          <t xml:space="preserve">    $B$4 &lt;= Inputs!$B$25     (Tomatoes &lt;= 20 beds)</t>
        </is>
      </c>
    </row>
    <row r="26">
      <c r="A26" s="53" t="inlineStr">
        <is>
          <t xml:space="preserve">    $B$5 &lt;= Inputs!$B$26     (Carrots &lt;= 20 beds)</t>
        </is>
      </c>
    </row>
    <row r="27">
      <c r="A27" s="53" t="inlineStr">
        <is>
          <t xml:space="preserve">    $B$6 &lt;= Inputs!$B$27     (Mesclun &lt;= 30 beds)</t>
        </is>
      </c>
    </row>
    <row r="28">
      <c r="A28" s="53" t="inlineStr">
        <is>
          <t xml:space="preserve">    $B$7 &lt;= Inputs!$B$5      (Total beds &lt;= 64)</t>
        </is>
      </c>
    </row>
    <row r="29">
      <c r="A29" s="53" t="inlineStr">
        <is>
          <t xml:space="preserve">    $B$8 &lt;= MAX_TEMP_WORKERS*TEMP_WORKER_HOURS   (Temp labor hours &lt;= 5,760)</t>
        </is>
      </c>
    </row>
    <row r="30">
      <c r="A30" s="53" t="inlineStr">
        <is>
          <t xml:space="preserve">    $B$4:$B$6 = integer</t>
        </is>
      </c>
    </row>
    <row r="31">
      <c r="A31" s="53" t="inlineStr">
        <is>
          <t xml:space="preserve">    $B$4:$B$6 &gt;= 0</t>
        </is>
      </c>
    </row>
    <row r="32">
      <c r="A32" s="53" t="inlineStr">
        <is>
          <t>Solving Method:  GRG Nonlinear</t>
        </is>
      </c>
    </row>
    <row r="33">
      <c r="A33" s="53" t="inlineStr">
        <is>
          <t>Options:  check "Make Unconstrained Variables Non-Negative"; the (1+dim%)^q term makes the</t>
        </is>
      </c>
    </row>
    <row r="34">
      <c r="A34" s="53" t="inlineStr">
        <is>
          <t>objective non-convex, so raise Max Time/Iterations if Solver stalls, and expect local optima. Labor is priced continuously by the hour (FARMER_RATE up to 720 hrs, then TEMP_RATE) — not in discrete worker blocks — per this case's published convention.</t>
        </is>
      </c>
    </row>
    <row r="36">
      <c r="A36" s="2" t="inlineStr">
        <is>
          <t>Run Log — Path-Dependence Check</t>
        </is>
      </c>
      <c r="B36" s="3" t="n"/>
      <c r="C36" s="3" t="n"/>
      <c r="D36" s="3" t="n"/>
      <c r="E36" s="3" t="n"/>
      <c r="F36" s="3" t="n"/>
      <c r="G36" s="3" t="n"/>
      <c r="H36" s="3" t="n"/>
      <c r="I36" s="3" t="n"/>
    </row>
    <row r="37" ht="16" customHeight="1" s="52">
      <c r="A37" s="18" t="inlineStr">
        <is>
          <t>Run</t>
        </is>
      </c>
      <c r="B37" s="18" t="inlineStr">
        <is>
          <t>Start T</t>
        </is>
      </c>
      <c r="C37" s="18" t="inlineStr">
        <is>
          <t>Start C</t>
        </is>
      </c>
      <c r="D37" s="18" t="inlineStr">
        <is>
          <t>Start M</t>
        </is>
      </c>
      <c r="E37" s="18" t="inlineStr">
        <is>
          <t>Final T</t>
        </is>
      </c>
      <c r="F37" s="18" t="inlineStr">
        <is>
          <t>Final C</t>
        </is>
      </c>
      <c r="G37" s="18" t="inlineStr">
        <is>
          <t>Final M</t>
        </is>
      </c>
      <c r="H37" s="18" t="inlineStr">
        <is>
          <t>Final Profit</t>
        </is>
      </c>
      <c r="I37" s="18" t="inlineStr">
        <is>
          <t>Notes</t>
        </is>
      </c>
    </row>
    <row r="38">
      <c r="A38" s="4" t="inlineStr">
        <is>
          <t>Run 1</t>
        </is>
      </c>
      <c r="B38" s="5" t="n">
        <v>0</v>
      </c>
      <c r="C38" s="5" t="n">
        <v>0</v>
      </c>
      <c r="D38" s="5" t="n">
        <v>0</v>
      </c>
      <c r="E38" s="14" t="n"/>
      <c r="F38" s="14" t="n"/>
      <c r="G38" s="14" t="n"/>
      <c r="H38" s="19" t="n"/>
      <c r="I38" s="20" t="n"/>
    </row>
    <row r="39">
      <c r="A39" s="4" t="inlineStr">
        <is>
          <t>Run 2</t>
        </is>
      </c>
      <c r="B39" s="5" t="n">
        <v>20</v>
      </c>
      <c r="C39" s="5" t="n">
        <v>0</v>
      </c>
      <c r="D39" s="5" t="n">
        <v>0</v>
      </c>
      <c r="E39" s="14" t="n"/>
      <c r="F39" s="14" t="n"/>
      <c r="G39" s="14" t="n"/>
      <c r="H39" s="17" t="n"/>
      <c r="I39" s="20" t="n"/>
    </row>
    <row r="41" ht="45" customHeight="1" s="52">
      <c r="A41" s="4" t="inlineStr">
        <is>
          <t>Path-dependence conclusion</t>
        </is>
      </c>
      <c r="B41" s="54">
        <f>IF(OR(H38="",H39=""),"Pending — run Solver from both starting points above and paste the Final results (E:H) for Run 1 and Run 2.",IF(ROUND(H38,2)=ROUND(H39,2),"Same optimum reached from both starts — no path-dependence detected in this instance.","Path-dependent: the two starts converge to different local optima (Run 1 profit "&amp;TEXT(H38,"$#,##0")&amp;" vs Run 2 profit "&amp;TEXT(H39,"$#,##0")&amp;"). Report the higher-profit run; the (1+dim%)^q term makes the objective non-convex, so GRG Nonlinear is only guaranteed to find a local optimum."))</f>
        <v/>
      </c>
    </row>
    <row r="43">
      <c r="A43" s="21" t="inlineStr">
        <is>
          <t>Independent reference (not a Solver output)</t>
        </is>
      </c>
    </row>
    <row r="44" ht="45" customHeight="1" s="52">
      <c r="A44" s="51" t="inlineStr">
        <is>
          <t>Published answer for this case (hours consumed, priced continuously at FARMER_RATE and TEMP_RATE): Tomatoes=10, Carrots=20, Mesclun=30 (60 beds, profit $42,761.66) — this is the acceptance target for Check 6 in the Audit sheet. A discrete whole-worker-block costing convention instead gives Tomatoes=10, Carrots=19, Mesclun=28 (57 beds, profit $16,586); that is a defensible alternative reading, argued in the Stage 1.3 memo, but is not what this workbook's P&amp;L computes.</t>
        </is>
      </c>
    </row>
  </sheetData>
  <mergeCells count="16">
    <mergeCell ref="A24:F24"/>
    <mergeCell ref="A33:F33"/>
    <mergeCell ref="A16:B16"/>
    <mergeCell ref="A28:F28"/>
    <mergeCell ref="A23:F23"/>
    <mergeCell ref="A44:I44"/>
    <mergeCell ref="A32:F32"/>
    <mergeCell ref="A27:F27"/>
    <mergeCell ref="A31:F31"/>
    <mergeCell ref="A22:F22"/>
    <mergeCell ref="A34:F34"/>
    <mergeCell ref="B41:I41"/>
    <mergeCell ref="A26:F26"/>
    <mergeCell ref="A30:F30"/>
    <mergeCell ref="A29:F29"/>
    <mergeCell ref="A25:F2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10" defaultColWidth="8.83203125" defaultRowHeight="15"/>
  <cols>
    <col width="46" customWidth="1" style="52" min="1" max="1"/>
    <col width="16" customWidth="1" style="52" min="2" max="6"/>
  </cols>
  <sheetData>
    <row r="1" ht="18" customHeight="1" s="52">
      <c r="A1" s="58" t="inlineStr">
        <is>
          <t>Engine — Labor Hours Formula (the one formula that drives the model)</t>
        </is>
      </c>
    </row>
    <row r="3">
      <c r="A3" s="55" t="inlineStr">
        <is>
          <t>Labor hours for q beds = q x hrs-per-week-per-bed x 36 weeks x (1 + diminishing%)^q</t>
        </is>
      </c>
    </row>
    <row r="5" ht="31" customHeight="1" s="52">
      <c r="A5" s="18" t="inlineStr">
        <is>
          <t>Crop</t>
        </is>
      </c>
      <c r="B5" s="18" t="inlineStr">
        <is>
          <t>Beds used (q)</t>
        </is>
      </c>
      <c r="C5" s="18" t="inlineStr">
        <is>
          <t>Labor hrs/wk/bed</t>
        </is>
      </c>
      <c r="D5" s="18" t="inlineStr">
        <is>
          <t>Season weeks</t>
        </is>
      </c>
      <c r="E5" s="18" t="inlineStr">
        <is>
          <t>Diminishing %/bed</t>
        </is>
      </c>
      <c r="F5" s="18" t="inlineStr">
        <is>
          <t>Labor Hours Required</t>
        </is>
      </c>
    </row>
    <row r="6">
      <c r="A6" s="11" t="inlineStr">
        <is>
          <t>Tomatoes</t>
        </is>
      </c>
      <c r="B6" s="16">
        <f>'Solver Model'!B4</f>
        <v/>
      </c>
      <c r="C6" s="22">
        <f>TOM_HRS_PER_BED</f>
        <v/>
      </c>
      <c r="D6" s="16">
        <f>WEEKS</f>
        <v/>
      </c>
      <c r="E6" s="23">
        <f>TOM_DIM_PCT</f>
        <v/>
      </c>
      <c r="F6" s="8">
        <f>B6*C6*D6*(1+E6)^B6</f>
        <v/>
      </c>
    </row>
    <row r="7">
      <c r="A7" s="11" t="inlineStr">
        <is>
          <t>Carrots</t>
        </is>
      </c>
      <c r="B7" s="16">
        <f>'Solver Model'!B5</f>
        <v/>
      </c>
      <c r="C7" s="22">
        <f>CAR_HRS_PER_BED</f>
        <v/>
      </c>
      <c r="D7" s="16">
        <f>WEEKS</f>
        <v/>
      </c>
      <c r="E7" s="23">
        <f>CAR_DIM_PCT</f>
        <v/>
      </c>
      <c r="F7" s="8">
        <f>B7*C7*D7*(1+E7)^B7</f>
        <v/>
      </c>
    </row>
    <row r="8">
      <c r="A8" s="11" t="inlineStr">
        <is>
          <t>Mesclun</t>
        </is>
      </c>
      <c r="B8" s="16">
        <f>'Solver Model'!B6</f>
        <v/>
      </c>
      <c r="C8" s="22">
        <f>MES_HRS_PER_BED</f>
        <v/>
      </c>
      <c r="D8" s="16">
        <f>WEEKS</f>
        <v/>
      </c>
      <c r="E8" s="23">
        <f>MES_DIM_PCT</f>
        <v/>
      </c>
      <c r="F8" s="8">
        <f>B8*C8*D8*(1+E8)^B8</f>
        <v/>
      </c>
    </row>
    <row r="9">
      <c r="A9" s="21" t="inlineStr">
        <is>
          <t>Total</t>
        </is>
      </c>
      <c r="F9" s="24">
        <f>SUM(F6:F8)</f>
        <v/>
      </c>
    </row>
    <row r="11">
      <c r="A11" s="48" t="inlineStr">
        <is>
          <t>Marginal Cost Explorer — this is the true per-bed marginal cost under Convention A (continuous hourly costing), audit check 2 (matches Farm Profit Lab convention)</t>
        </is>
      </c>
      <c r="B11" s="3" t="n"/>
    </row>
    <row r="12">
      <c r="A12" s="4" t="inlineStr">
        <is>
          <t>Crop tested</t>
        </is>
      </c>
      <c r="B12" s="25" t="inlineStr">
        <is>
          <t>Tomatoes</t>
        </is>
      </c>
    </row>
    <row r="13">
      <c r="A13" s="4" t="inlineStr">
        <is>
          <t>Bed count tested (q) — must be &gt;= 1</t>
        </is>
      </c>
      <c r="B13" s="14" t="n">
        <v>10</v>
      </c>
    </row>
    <row r="14">
      <c r="A14" s="4" t="inlineStr">
        <is>
          <t>Labor hrs/wk/bed</t>
        </is>
      </c>
      <c r="B14" s="22">
        <f>TOM_HRS_PER_BED</f>
        <v/>
      </c>
    </row>
    <row r="15">
      <c r="A15" s="4" t="inlineStr">
        <is>
          <t>Diminishing %/bed</t>
        </is>
      </c>
      <c r="B15" s="23">
        <f>TOM_DIM_PCT</f>
        <v/>
      </c>
    </row>
    <row r="16">
      <c r="A16" s="4" t="inlineStr">
        <is>
          <t>Labor hours at q</t>
        </is>
      </c>
      <c r="B16" s="8">
        <f>B13*B14*WEEKS*(1+B15)^B13</f>
        <v/>
      </c>
    </row>
    <row r="17">
      <c r="A17" s="4" t="inlineStr">
        <is>
          <t>Labor hours at q-1</t>
        </is>
      </c>
      <c r="B17" s="8">
        <f>(B13-1)*B14*WEEKS*(1+B15)^(B13-1)</f>
        <v/>
      </c>
    </row>
    <row r="18">
      <c r="A18" s="4" t="inlineStr">
        <is>
          <t>Marginal labor hours (delta for the q-th bed)</t>
        </is>
      </c>
      <c r="B18" s="8">
        <f>B16-B17</f>
        <v/>
      </c>
    </row>
    <row r="19">
      <c r="A19" s="44" t="inlineStr">
        <is>
          <t>Free hours remaining before this bed (farmer, isolated view)</t>
        </is>
      </c>
      <c r="B19" s="35">
        <f>MAX(FARMER_FIELD_HOURS-B17,0)</f>
        <v/>
      </c>
    </row>
    <row r="20">
      <c r="A20" s="44" t="inlineStr">
        <is>
          <t>Free hours used by this bed</t>
        </is>
      </c>
      <c r="B20" s="35">
        <f>MIN(B18,B19)</f>
        <v/>
      </c>
    </row>
    <row r="21">
      <c r="A21" s="44" t="inlineStr">
        <is>
          <t>Paid (temp-rate) hours for this bed</t>
        </is>
      </c>
      <c r="B21" s="35">
        <f>B18-B20</f>
        <v/>
      </c>
    </row>
    <row r="22">
      <c r="A22" s="44" t="inlineStr">
        <is>
          <t>Marginal labor $ (free hours x farmer rate + paid hours x temp rate)</t>
        </is>
      </c>
      <c r="B22" s="36">
        <f>B20*FARMER_RATE+B21*(TEMP_WORKER_COST/TEMP_WORKER_HOURS)</f>
        <v/>
      </c>
    </row>
    <row r="23">
      <c r="A23" s="44" t="inlineStr">
        <is>
          <t>Marginal fertilizer $ (constant per bed)</t>
        </is>
      </c>
      <c r="B23" s="37">
        <f>TOM_FERT_COST</f>
        <v/>
      </c>
    </row>
    <row r="24">
      <c r="A24" s="44" t="inlineStr">
        <is>
          <t>Marginal cost of the q-th bed (labor + fertilizer)</t>
        </is>
      </c>
      <c r="B24" s="36">
        <f>B22+B23</f>
        <v/>
      </c>
    </row>
    <row r="25">
      <c r="A25" s="44" t="inlineStr">
        <is>
          <t>Marginal revenue (price per bed)</t>
        </is>
      </c>
      <c r="B25" s="37">
        <f>TOM_PRICE</f>
        <v/>
      </c>
    </row>
    <row r="26">
      <c r="A26" s="44" t="inlineStr">
        <is>
          <t>Marginal profit of the q-th bed</t>
        </is>
      </c>
      <c r="B26" s="36">
        <f>B25-B24</f>
        <v/>
      </c>
    </row>
    <row r="27">
      <c r="A27" s="4" t="n"/>
      <c r="B27" s="17" t="n"/>
    </row>
    <row r="28">
      <c r="A28" s="44" t="inlineStr">
        <is>
          <t>Farm Profit Lab reference value (paste here)</t>
        </is>
      </c>
      <c r="B28" s="49" t="n"/>
    </row>
    <row r="29">
      <c r="A29" s="44" t="inlineStr">
        <is>
          <t>Match?</t>
        </is>
      </c>
      <c r="B29" s="34">
        <f>IF(B28="","Pending — paste Farm Profit Lab figure",IF(ROUND(B28,2)=ROUND(B24,2),"MATCH","REVIEW — differs from Farm Profit Lab"))</f>
        <v/>
      </c>
    </row>
    <row r="30">
      <c r="A30" s="4" t="n"/>
      <c r="B30" s="19" t="n"/>
    </row>
    <row r="31">
      <c r="A31" s="4" t="n"/>
      <c r="B31" s="11" t="n"/>
    </row>
  </sheetData>
  <mergeCells count="1">
    <mergeCell ref="A3:F3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69"/>
  <sheetViews>
    <sheetView workbookViewId="0">
      <selection activeCell="A1" sqref="A1:K1"/>
    </sheetView>
  </sheetViews>
  <sheetFormatPr baseColWidth="10" defaultColWidth="8.83203125" defaultRowHeight="15"/>
  <cols>
    <col width="6" customWidth="1" style="52" min="1" max="1"/>
    <col width="13" customWidth="1" style="52" min="2" max="12"/>
  </cols>
  <sheetData>
    <row r="1" ht="18" customHeight="1" s="52">
      <c r="A1" s="57" t="inlineStr">
        <is>
          <t>Marginal Analysis — Where Marginal Cost Crosses Price</t>
        </is>
      </c>
    </row>
    <row r="3" ht="15" customHeight="1" s="52">
      <c r="A3" s="56" t="inlineStr">
        <is>
          <t>Convention: each crop is evaluated on its own labor-hours curve as if it alone drew on the farmer's 720 free field hours before any paid labor begins. Every hour is priced continuously: the farmer's own hours at her implied rate (FARMER_RATE = $34.72/hr) and hours beyond that at the temp-worker rate (TEMP_RATE = $17.36/hr). This decomposes the farm-wide P&amp;L's aggregate labor cost bed by bed — summed across all beds, it reproduces the same total the P&amp;L computes, which pricing free hours at $0 would not.</t>
        </is>
      </c>
    </row>
    <row r="4" ht="15" customHeight="1" s="52"/>
    <row r="5" ht="15" customHeight="1" s="52"/>
    <row r="7" ht="16" customHeight="1" s="52">
      <c r="A7" s="32" t="inlineStr">
        <is>
          <t>Tomatoes (price = Inputs!C25)</t>
        </is>
      </c>
    </row>
    <row r="8" ht="30" customHeight="1" s="52">
      <c r="A8" s="33" t="inlineStr">
        <is>
          <t>q</t>
        </is>
      </c>
      <c r="B8" s="33" t="inlineStr">
        <is>
          <t>Cum. hours thru q-1</t>
        </is>
      </c>
      <c r="C8" s="33" t="inlineStr">
        <is>
          <t>Cum. hours thru q</t>
        </is>
      </c>
      <c r="D8" s="33" t="inlineStr">
        <is>
          <t>Marginal hours</t>
        </is>
      </c>
      <c r="E8" s="33" t="inlineStr">
        <is>
          <t>Free hours (farmer)</t>
        </is>
      </c>
      <c r="F8" s="33" t="inlineStr">
        <is>
          <t>Paid hours (temp)</t>
        </is>
      </c>
      <c r="G8" s="33" t="inlineStr">
        <is>
          <t>Marginal labor $</t>
        </is>
      </c>
      <c r="H8" s="33" t="inlineStr">
        <is>
          <t>Marginal fertilizer $</t>
        </is>
      </c>
      <c r="I8" s="33" t="inlineStr">
        <is>
          <t>Marginal cost</t>
        </is>
      </c>
      <c r="J8" s="33" t="inlineStr">
        <is>
          <t>Price</t>
        </is>
      </c>
      <c r="K8" s="33" t="inlineStr">
        <is>
          <t>Marginal profit</t>
        </is>
      </c>
      <c r="L8" s="33" t="inlineStr">
        <is>
          <t>Profitable?</t>
        </is>
      </c>
    </row>
    <row r="9">
      <c r="A9" s="34" t="n">
        <v>1</v>
      </c>
      <c r="B9" s="35">
        <f>IF(1-1&lt;=0,0,(1-1)*TOM_HRS_PER_BED*WEEKS*(1+TOM_DIM_PCT)^(1-1))</f>
        <v/>
      </c>
      <c r="C9" s="35">
        <f>1*TOM_HRS_PER_BED*WEEKS*(1+TOM_DIM_PCT)^1</f>
        <v/>
      </c>
      <c r="D9" s="35">
        <f>C9-B9</f>
        <v/>
      </c>
      <c r="E9" s="35">
        <f>MIN(D9,MAX(FARMER_FIELD_HOURS-B9,0))</f>
        <v/>
      </c>
      <c r="F9" s="35">
        <f>D9-E9</f>
        <v/>
      </c>
      <c r="G9" s="36">
        <f>E9*FARMER_RATE+F9*(TEMP_WORKER_COST/TEMP_WORKER_HOURS)</f>
        <v/>
      </c>
      <c r="H9" s="37">
        <f>TOM_FERT_COST</f>
        <v/>
      </c>
      <c r="I9" s="36">
        <f>G9+H9</f>
        <v/>
      </c>
      <c r="J9" s="37">
        <f>TOM_PRICE</f>
        <v/>
      </c>
      <c r="K9" s="36">
        <f>J9-I9</f>
        <v/>
      </c>
      <c r="L9" s="34">
        <f>IF(K9&gt;=0,"Yes","No")</f>
        <v/>
      </c>
    </row>
    <row r="10">
      <c r="A10" s="34" t="n">
        <v>2</v>
      </c>
      <c r="B10" s="35">
        <f>IF(2-1&lt;=0,0,(2-1)*TOM_HRS_PER_BED*WEEKS*(1+TOM_DIM_PCT)^(2-1))</f>
        <v/>
      </c>
      <c r="C10" s="35">
        <f>2*TOM_HRS_PER_BED*WEEKS*(1+TOM_DIM_PCT)^2</f>
        <v/>
      </c>
      <c r="D10" s="35">
        <f>C10-B10</f>
        <v/>
      </c>
      <c r="E10" s="35">
        <f>MIN(D10,MAX(FARMER_FIELD_HOURS-B10,0))</f>
        <v/>
      </c>
      <c r="F10" s="35">
        <f>D10-E10</f>
        <v/>
      </c>
      <c r="G10" s="36">
        <f>E10*FARMER_RATE+F10*(TEMP_WORKER_COST/TEMP_WORKER_HOURS)</f>
        <v/>
      </c>
      <c r="H10" s="37">
        <f>TOM_FERT_COST</f>
        <v/>
      </c>
      <c r="I10" s="36">
        <f>G10+H10</f>
        <v/>
      </c>
      <c r="J10" s="37">
        <f>TOM_PRICE</f>
        <v/>
      </c>
      <c r="K10" s="36">
        <f>J10-I10</f>
        <v/>
      </c>
      <c r="L10" s="34">
        <f>IF(K10&gt;=0,"Yes","No")</f>
        <v/>
      </c>
    </row>
    <row r="11">
      <c r="A11" s="34" t="n">
        <v>3</v>
      </c>
      <c r="B11" s="35">
        <f>IF(3-1&lt;=0,0,(3-1)*TOM_HRS_PER_BED*WEEKS*(1+TOM_DIM_PCT)^(3-1))</f>
        <v/>
      </c>
      <c r="C11" s="35">
        <f>3*TOM_HRS_PER_BED*WEEKS*(1+TOM_DIM_PCT)^3</f>
        <v/>
      </c>
      <c r="D11" s="35">
        <f>C11-B11</f>
        <v/>
      </c>
      <c r="E11" s="35">
        <f>MIN(D11,MAX(FARMER_FIELD_HOURS-B11,0))</f>
        <v/>
      </c>
      <c r="F11" s="35">
        <f>D11-E11</f>
        <v/>
      </c>
      <c r="G11" s="36">
        <f>E11*FARMER_RATE+F11*(TEMP_WORKER_COST/TEMP_WORKER_HOURS)</f>
        <v/>
      </c>
      <c r="H11" s="37">
        <f>TOM_FERT_COST</f>
        <v/>
      </c>
      <c r="I11" s="36">
        <f>G11+H11</f>
        <v/>
      </c>
      <c r="J11" s="37">
        <f>TOM_PRICE</f>
        <v/>
      </c>
      <c r="K11" s="36">
        <f>J11-I11</f>
        <v/>
      </c>
      <c r="L11" s="34">
        <f>IF(K11&gt;=0,"Yes","No")</f>
        <v/>
      </c>
    </row>
    <row r="12">
      <c r="A12" s="34" t="n">
        <v>4</v>
      </c>
      <c r="B12" s="35">
        <f>IF(4-1&lt;=0,0,(4-1)*TOM_HRS_PER_BED*WEEKS*(1+TOM_DIM_PCT)^(4-1))</f>
        <v/>
      </c>
      <c r="C12" s="35">
        <f>4*TOM_HRS_PER_BED*WEEKS*(1+TOM_DIM_PCT)^4</f>
        <v/>
      </c>
      <c r="D12" s="35">
        <f>C12-B12</f>
        <v/>
      </c>
      <c r="E12" s="35">
        <f>MIN(D12,MAX(FARMER_FIELD_HOURS-B12,0))</f>
        <v/>
      </c>
      <c r="F12" s="35">
        <f>D12-E12</f>
        <v/>
      </c>
      <c r="G12" s="36">
        <f>E12*FARMER_RATE+F12*(TEMP_WORKER_COST/TEMP_WORKER_HOURS)</f>
        <v/>
      </c>
      <c r="H12" s="37">
        <f>TOM_FERT_COST</f>
        <v/>
      </c>
      <c r="I12" s="36">
        <f>G12+H12</f>
        <v/>
      </c>
      <c r="J12" s="37">
        <f>TOM_PRICE</f>
        <v/>
      </c>
      <c r="K12" s="36">
        <f>J12-I12</f>
        <v/>
      </c>
      <c r="L12" s="34">
        <f>IF(K12&gt;=0,"Yes","No")</f>
        <v/>
      </c>
    </row>
    <row r="13">
      <c r="A13" s="34" t="n">
        <v>5</v>
      </c>
      <c r="B13" s="35">
        <f>IF(5-1&lt;=0,0,(5-1)*TOM_HRS_PER_BED*WEEKS*(1+TOM_DIM_PCT)^(5-1))</f>
        <v/>
      </c>
      <c r="C13" s="35">
        <f>5*TOM_HRS_PER_BED*WEEKS*(1+TOM_DIM_PCT)^5</f>
        <v/>
      </c>
      <c r="D13" s="35">
        <f>C13-B13</f>
        <v/>
      </c>
      <c r="E13" s="35">
        <f>MIN(D13,MAX(FARMER_FIELD_HOURS-B13,0))</f>
        <v/>
      </c>
      <c r="F13" s="35">
        <f>D13-E13</f>
        <v/>
      </c>
      <c r="G13" s="36">
        <f>E13*FARMER_RATE+F13*(TEMP_WORKER_COST/TEMP_WORKER_HOURS)</f>
        <v/>
      </c>
      <c r="H13" s="37">
        <f>TOM_FERT_COST</f>
        <v/>
      </c>
      <c r="I13" s="36">
        <f>G13+H13</f>
        <v/>
      </c>
      <c r="J13" s="37">
        <f>TOM_PRICE</f>
        <v/>
      </c>
      <c r="K13" s="36">
        <f>J13-I13</f>
        <v/>
      </c>
      <c r="L13" s="34">
        <f>IF(K13&gt;=0,"Yes","No")</f>
        <v/>
      </c>
    </row>
    <row r="14">
      <c r="A14" s="34" t="n">
        <v>6</v>
      </c>
      <c r="B14" s="35">
        <f>IF(6-1&lt;=0,0,(6-1)*TOM_HRS_PER_BED*WEEKS*(1+TOM_DIM_PCT)^(6-1))</f>
        <v/>
      </c>
      <c r="C14" s="35">
        <f>6*TOM_HRS_PER_BED*WEEKS*(1+TOM_DIM_PCT)^6</f>
        <v/>
      </c>
      <c r="D14" s="35">
        <f>C14-B14</f>
        <v/>
      </c>
      <c r="E14" s="35">
        <f>MIN(D14,MAX(FARMER_FIELD_HOURS-B14,0))</f>
        <v/>
      </c>
      <c r="F14" s="35">
        <f>D14-E14</f>
        <v/>
      </c>
      <c r="G14" s="36">
        <f>E14*FARMER_RATE+F14*(TEMP_WORKER_COST/TEMP_WORKER_HOURS)</f>
        <v/>
      </c>
      <c r="H14" s="37">
        <f>TOM_FERT_COST</f>
        <v/>
      </c>
      <c r="I14" s="36">
        <f>G14+H14</f>
        <v/>
      </c>
      <c r="J14" s="37">
        <f>TOM_PRICE</f>
        <v/>
      </c>
      <c r="K14" s="36">
        <f>J14-I14</f>
        <v/>
      </c>
      <c r="L14" s="34">
        <f>IF(K14&gt;=0,"Yes","No")</f>
        <v/>
      </c>
    </row>
    <row r="15">
      <c r="A15" s="34" t="n">
        <v>7</v>
      </c>
      <c r="B15" s="35">
        <f>IF(7-1&lt;=0,0,(7-1)*TOM_HRS_PER_BED*WEEKS*(1+TOM_DIM_PCT)^(7-1))</f>
        <v/>
      </c>
      <c r="C15" s="35">
        <f>7*TOM_HRS_PER_BED*WEEKS*(1+TOM_DIM_PCT)^7</f>
        <v/>
      </c>
      <c r="D15" s="35">
        <f>C15-B15</f>
        <v/>
      </c>
      <c r="E15" s="35">
        <f>MIN(D15,MAX(FARMER_FIELD_HOURS-B15,0))</f>
        <v/>
      </c>
      <c r="F15" s="35">
        <f>D15-E15</f>
        <v/>
      </c>
      <c r="G15" s="36">
        <f>E15*FARMER_RATE+F15*(TEMP_WORKER_COST/TEMP_WORKER_HOURS)</f>
        <v/>
      </c>
      <c r="H15" s="37">
        <f>TOM_FERT_COST</f>
        <v/>
      </c>
      <c r="I15" s="36">
        <f>G15+H15</f>
        <v/>
      </c>
      <c r="J15" s="37">
        <f>TOM_PRICE</f>
        <v/>
      </c>
      <c r="K15" s="36">
        <f>J15-I15</f>
        <v/>
      </c>
      <c r="L15" s="34">
        <f>IF(K15&gt;=0,"Yes","No")</f>
        <v/>
      </c>
    </row>
    <row r="16">
      <c r="A16" s="34" t="n">
        <v>8</v>
      </c>
      <c r="B16" s="35">
        <f>IF(8-1&lt;=0,0,(8-1)*TOM_HRS_PER_BED*WEEKS*(1+TOM_DIM_PCT)^(8-1))</f>
        <v/>
      </c>
      <c r="C16" s="35">
        <f>8*TOM_HRS_PER_BED*WEEKS*(1+TOM_DIM_PCT)^8</f>
        <v/>
      </c>
      <c r="D16" s="35">
        <f>C16-B16</f>
        <v/>
      </c>
      <c r="E16" s="35">
        <f>MIN(D16,MAX(FARMER_FIELD_HOURS-B16,0))</f>
        <v/>
      </c>
      <c r="F16" s="35">
        <f>D16-E16</f>
        <v/>
      </c>
      <c r="G16" s="36">
        <f>E16*FARMER_RATE+F16*(TEMP_WORKER_COST/TEMP_WORKER_HOURS)</f>
        <v/>
      </c>
      <c r="H16" s="37">
        <f>TOM_FERT_COST</f>
        <v/>
      </c>
      <c r="I16" s="36">
        <f>G16+H16</f>
        <v/>
      </c>
      <c r="J16" s="37">
        <f>TOM_PRICE</f>
        <v/>
      </c>
      <c r="K16" s="36">
        <f>J16-I16</f>
        <v/>
      </c>
      <c r="L16" s="34">
        <f>IF(K16&gt;=0,"Yes","No")</f>
        <v/>
      </c>
    </row>
    <row r="17">
      <c r="A17" s="34" t="n">
        <v>9</v>
      </c>
      <c r="B17" s="35">
        <f>IF(9-1&lt;=0,0,(9-1)*TOM_HRS_PER_BED*WEEKS*(1+TOM_DIM_PCT)^(9-1))</f>
        <v/>
      </c>
      <c r="C17" s="35">
        <f>9*TOM_HRS_PER_BED*WEEKS*(1+TOM_DIM_PCT)^9</f>
        <v/>
      </c>
      <c r="D17" s="35">
        <f>C17-B17</f>
        <v/>
      </c>
      <c r="E17" s="35">
        <f>MIN(D17,MAX(FARMER_FIELD_HOURS-B17,0))</f>
        <v/>
      </c>
      <c r="F17" s="35">
        <f>D17-E17</f>
        <v/>
      </c>
      <c r="G17" s="36">
        <f>E17*FARMER_RATE+F17*(TEMP_WORKER_COST/TEMP_WORKER_HOURS)</f>
        <v/>
      </c>
      <c r="H17" s="37">
        <f>TOM_FERT_COST</f>
        <v/>
      </c>
      <c r="I17" s="36">
        <f>G17+H17</f>
        <v/>
      </c>
      <c r="J17" s="37">
        <f>TOM_PRICE</f>
        <v/>
      </c>
      <c r="K17" s="36">
        <f>J17-I17</f>
        <v/>
      </c>
      <c r="L17" s="34">
        <f>IF(K17&gt;=0,"Yes","No")</f>
        <v/>
      </c>
    </row>
    <row r="18">
      <c r="A18" s="38" t="n">
        <v>10</v>
      </c>
      <c r="B18" s="39">
        <f>IF(10-1&lt;=0,0,(10-1)*TOM_HRS_PER_BED*WEEKS*(1+TOM_DIM_PCT)^(10-1))</f>
        <v/>
      </c>
      <c r="C18" s="39">
        <f>10*TOM_HRS_PER_BED*WEEKS*(1+TOM_DIM_PCT)^10</f>
        <v/>
      </c>
      <c r="D18" s="39">
        <f>C18-B18</f>
        <v/>
      </c>
      <c r="E18" s="39">
        <f>MIN(D18,MAX(FARMER_FIELD_HOURS-B18,0))</f>
        <v/>
      </c>
      <c r="F18" s="39">
        <f>D18-E18</f>
        <v/>
      </c>
      <c r="G18" s="40">
        <f>E18*FARMER_RATE+F18*(TEMP_WORKER_COST/TEMP_WORKER_HOURS)</f>
        <v/>
      </c>
      <c r="H18" s="41">
        <f>TOM_FERT_COST</f>
        <v/>
      </c>
      <c r="I18" s="40">
        <f>G18+H18</f>
        <v/>
      </c>
      <c r="J18" s="41">
        <f>TOM_PRICE</f>
        <v/>
      </c>
      <c r="K18" s="40">
        <f>J18-I18</f>
        <v/>
      </c>
      <c r="L18" s="38">
        <f>IF(K18&gt;=0,"Yes","No")</f>
        <v/>
      </c>
    </row>
    <row r="19">
      <c r="A19" s="38" t="n">
        <v>11</v>
      </c>
      <c r="B19" s="39">
        <f>IF(11-1&lt;=0,0,(11-1)*TOM_HRS_PER_BED*WEEKS*(1+TOM_DIM_PCT)^(11-1))</f>
        <v/>
      </c>
      <c r="C19" s="39">
        <f>11*TOM_HRS_PER_BED*WEEKS*(1+TOM_DIM_PCT)^11</f>
        <v/>
      </c>
      <c r="D19" s="39">
        <f>C19-B19</f>
        <v/>
      </c>
      <c r="E19" s="39">
        <f>MIN(D19,MAX(FARMER_FIELD_HOURS-B19,0))</f>
        <v/>
      </c>
      <c r="F19" s="39">
        <f>D19-E19</f>
        <v/>
      </c>
      <c r="G19" s="40">
        <f>E19*FARMER_RATE+F19*(TEMP_WORKER_COST/TEMP_WORKER_HOURS)</f>
        <v/>
      </c>
      <c r="H19" s="41">
        <f>TOM_FERT_COST</f>
        <v/>
      </c>
      <c r="I19" s="40">
        <f>G19+H19</f>
        <v/>
      </c>
      <c r="J19" s="41">
        <f>TOM_PRICE</f>
        <v/>
      </c>
      <c r="K19" s="40">
        <f>J19-I19</f>
        <v/>
      </c>
      <c r="L19" s="38">
        <f>IF(K19&gt;=0,"Yes","No")</f>
        <v/>
      </c>
    </row>
    <row r="20">
      <c r="A20" s="34" t="n">
        <v>12</v>
      </c>
      <c r="B20" s="35">
        <f>IF(12-1&lt;=0,0,(12-1)*TOM_HRS_PER_BED*WEEKS*(1+TOM_DIM_PCT)^(12-1))</f>
        <v/>
      </c>
      <c r="C20" s="35">
        <f>12*TOM_HRS_PER_BED*WEEKS*(1+TOM_DIM_PCT)^12</f>
        <v/>
      </c>
      <c r="D20" s="35">
        <f>C20-B20</f>
        <v/>
      </c>
      <c r="E20" s="35">
        <f>MIN(D20,MAX(FARMER_FIELD_HOURS-B20,0))</f>
        <v/>
      </c>
      <c r="F20" s="35">
        <f>D20-E20</f>
        <v/>
      </c>
      <c r="G20" s="36">
        <f>E20*FARMER_RATE+F20*(TEMP_WORKER_COST/TEMP_WORKER_HOURS)</f>
        <v/>
      </c>
      <c r="H20" s="37">
        <f>TOM_FERT_COST</f>
        <v/>
      </c>
      <c r="I20" s="36">
        <f>G20+H20</f>
        <v/>
      </c>
      <c r="J20" s="37">
        <f>TOM_PRICE</f>
        <v/>
      </c>
      <c r="K20" s="36">
        <f>J20-I20</f>
        <v/>
      </c>
      <c r="L20" s="34">
        <f>IF(K20&gt;=0,"Yes","No")</f>
        <v/>
      </c>
    </row>
    <row r="22" ht="15" customHeight="1" s="52">
      <c r="A22" s="56" t="inlineStr">
        <is>
          <t>Beds 1-4 draw only on the farmer's already-paid-for hours, so marginal cost sits near the $880 fertilizer floor. The farmer's 720 hours run out partway through bed 5, so bed 6 is the first bed priced entirely at the $17.36/hr temp rate -- marginal cost jumps sharply there rather than climbing smoothly from bed 1. Marginal cost stays below the $8,800 price through bed 10 ($8,249) and crosses above it at bed 11 ($9,391) -- tomatoes are self-limiting at 10 beds on economics alone, regardless of the bed cap.</t>
        </is>
      </c>
    </row>
    <row r="23" ht="15" customHeight="1" s="52"/>
    <row r="24" ht="15" customHeight="1" s="52"/>
    <row r="26" ht="16" customHeight="1" s="52">
      <c r="A26" s="32" t="inlineStr">
        <is>
          <t>Carrots (price = Inputs!C26) -- approaching the 20-bed cap</t>
        </is>
      </c>
    </row>
    <row r="27" ht="30" customHeight="1" s="52">
      <c r="A27" s="33" t="inlineStr">
        <is>
          <t>q</t>
        </is>
      </c>
      <c r="B27" s="33" t="inlineStr">
        <is>
          <t>Cum. hours thru q-1</t>
        </is>
      </c>
      <c r="C27" s="33" t="inlineStr">
        <is>
          <t>Cum. hours thru q</t>
        </is>
      </c>
      <c r="D27" s="33" t="inlineStr">
        <is>
          <t>Marginal hours</t>
        </is>
      </c>
      <c r="E27" s="33" t="inlineStr">
        <is>
          <t>Free hours (farmer)</t>
        </is>
      </c>
      <c r="F27" s="33" t="inlineStr">
        <is>
          <t>Paid hours (temp)</t>
        </is>
      </c>
      <c r="G27" s="33" t="inlineStr">
        <is>
          <t>Marginal labor $</t>
        </is>
      </c>
      <c r="H27" s="33" t="inlineStr">
        <is>
          <t>Marginal fertilizer $</t>
        </is>
      </c>
      <c r="I27" s="33" t="inlineStr">
        <is>
          <t>Marginal cost</t>
        </is>
      </c>
      <c r="J27" s="33" t="inlineStr">
        <is>
          <t>Price</t>
        </is>
      </c>
      <c r="K27" s="33" t="inlineStr">
        <is>
          <t>Marginal profit</t>
        </is>
      </c>
      <c r="L27" s="33" t="inlineStr">
        <is>
          <t>Profitable?</t>
        </is>
      </c>
    </row>
    <row r="28">
      <c r="A28" s="34" t="n">
        <v>16</v>
      </c>
      <c r="B28" s="35">
        <f>IF(16-1&lt;=0,0,(16-1)*CAR_HRS_PER_BED*WEEKS*(1+CAR_DIM_PCT)^(16-1))</f>
        <v/>
      </c>
      <c r="C28" s="35">
        <f>16*CAR_HRS_PER_BED*WEEKS*(1+CAR_DIM_PCT)^16</f>
        <v/>
      </c>
      <c r="D28" s="35">
        <f>C28-B28</f>
        <v/>
      </c>
      <c r="E28" s="35">
        <f>MIN(D28,MAX(FARMER_FIELD_HOURS-B28,0))</f>
        <v/>
      </c>
      <c r="F28" s="35">
        <f>D28-E28</f>
        <v/>
      </c>
      <c r="G28" s="36">
        <f>E28*FARMER_RATE+F28*(TEMP_WORKER_COST/TEMP_WORKER_HOURS)</f>
        <v/>
      </c>
      <c r="H28" s="37">
        <f>CAR_FERT_COST</f>
        <v/>
      </c>
      <c r="I28" s="36">
        <f>G28+H28</f>
        <v/>
      </c>
      <c r="J28" s="37">
        <f>CAR_PRICE</f>
        <v/>
      </c>
      <c r="K28" s="36">
        <f>J28-I28</f>
        <v/>
      </c>
      <c r="L28" s="34">
        <f>IF(K28&gt;=0,"Yes","No")</f>
        <v/>
      </c>
    </row>
    <row r="29">
      <c r="A29" s="34" t="n">
        <v>17</v>
      </c>
      <c r="B29" s="35">
        <f>IF(17-1&lt;=0,0,(17-1)*CAR_HRS_PER_BED*WEEKS*(1+CAR_DIM_PCT)^(17-1))</f>
        <v/>
      </c>
      <c r="C29" s="35">
        <f>17*CAR_HRS_PER_BED*WEEKS*(1+CAR_DIM_PCT)^17</f>
        <v/>
      </c>
      <c r="D29" s="35">
        <f>C29-B29</f>
        <v/>
      </c>
      <c r="E29" s="35">
        <f>MIN(D29,MAX(FARMER_FIELD_HOURS-B29,0))</f>
        <v/>
      </c>
      <c r="F29" s="35">
        <f>D29-E29</f>
        <v/>
      </c>
      <c r="G29" s="36">
        <f>E29*FARMER_RATE+F29*(TEMP_WORKER_COST/TEMP_WORKER_HOURS)</f>
        <v/>
      </c>
      <c r="H29" s="37">
        <f>CAR_FERT_COST</f>
        <v/>
      </c>
      <c r="I29" s="36">
        <f>G29+H29</f>
        <v/>
      </c>
      <c r="J29" s="37">
        <f>CAR_PRICE</f>
        <v/>
      </c>
      <c r="K29" s="36">
        <f>J29-I29</f>
        <v/>
      </c>
      <c r="L29" s="34">
        <f>IF(K29&gt;=0,"Yes","No")</f>
        <v/>
      </c>
    </row>
    <row r="30">
      <c r="A30" s="34" t="n">
        <v>18</v>
      </c>
      <c r="B30" s="35">
        <f>IF(18-1&lt;=0,0,(18-1)*CAR_HRS_PER_BED*WEEKS*(1+CAR_DIM_PCT)^(18-1))</f>
        <v/>
      </c>
      <c r="C30" s="35">
        <f>18*CAR_HRS_PER_BED*WEEKS*(1+CAR_DIM_PCT)^18</f>
        <v/>
      </c>
      <c r="D30" s="35">
        <f>C30-B30</f>
        <v/>
      </c>
      <c r="E30" s="35">
        <f>MIN(D30,MAX(FARMER_FIELD_HOURS-B30,0))</f>
        <v/>
      </c>
      <c r="F30" s="35">
        <f>D30-E30</f>
        <v/>
      </c>
      <c r="G30" s="36">
        <f>E30*FARMER_RATE+F30*(TEMP_WORKER_COST/TEMP_WORKER_HOURS)</f>
        <v/>
      </c>
      <c r="H30" s="37">
        <f>CAR_FERT_COST</f>
        <v/>
      </c>
      <c r="I30" s="36">
        <f>G30+H30</f>
        <v/>
      </c>
      <c r="J30" s="37">
        <f>CAR_PRICE</f>
        <v/>
      </c>
      <c r="K30" s="36">
        <f>J30-I30</f>
        <v/>
      </c>
      <c r="L30" s="34">
        <f>IF(K30&gt;=0,"Yes","No")</f>
        <v/>
      </c>
    </row>
    <row r="31">
      <c r="A31" s="34" t="n">
        <v>19</v>
      </c>
      <c r="B31" s="35">
        <f>IF(19-1&lt;=0,0,(19-1)*CAR_HRS_PER_BED*WEEKS*(1+CAR_DIM_PCT)^(19-1))</f>
        <v/>
      </c>
      <c r="C31" s="35">
        <f>19*CAR_HRS_PER_BED*WEEKS*(1+CAR_DIM_PCT)^19</f>
        <v/>
      </c>
      <c r="D31" s="35">
        <f>C31-B31</f>
        <v/>
      </c>
      <c r="E31" s="35">
        <f>MIN(D31,MAX(FARMER_FIELD_HOURS-B31,0))</f>
        <v/>
      </c>
      <c r="F31" s="35">
        <f>D31-E31</f>
        <v/>
      </c>
      <c r="G31" s="36">
        <f>E31*FARMER_RATE+F31*(TEMP_WORKER_COST/TEMP_WORKER_HOURS)</f>
        <v/>
      </c>
      <c r="H31" s="37">
        <f>CAR_FERT_COST</f>
        <v/>
      </c>
      <c r="I31" s="36">
        <f>G31+H31</f>
        <v/>
      </c>
      <c r="J31" s="37">
        <f>CAR_PRICE</f>
        <v/>
      </c>
      <c r="K31" s="36">
        <f>J31-I31</f>
        <v/>
      </c>
      <c r="L31" s="34">
        <f>IF(K31&gt;=0,"Yes","No")</f>
        <v/>
      </c>
    </row>
    <row r="32">
      <c r="A32" s="38" t="n">
        <v>20</v>
      </c>
      <c r="B32" s="39">
        <f>IF(20-1&lt;=0,0,(20-1)*CAR_HRS_PER_BED*WEEKS*(1+CAR_DIM_PCT)^(20-1))</f>
        <v/>
      </c>
      <c r="C32" s="39">
        <f>20*CAR_HRS_PER_BED*WEEKS*(1+CAR_DIM_PCT)^20</f>
        <v/>
      </c>
      <c r="D32" s="39">
        <f>C32-B32</f>
        <v/>
      </c>
      <c r="E32" s="39">
        <f>MIN(D32,MAX(FARMER_FIELD_HOURS-B32,0))</f>
        <v/>
      </c>
      <c r="F32" s="39">
        <f>D32-E32</f>
        <v/>
      </c>
      <c r="G32" s="40">
        <f>E32*FARMER_RATE+F32*(TEMP_WORKER_COST/TEMP_WORKER_HOURS)</f>
        <v/>
      </c>
      <c r="H32" s="41">
        <f>CAR_FERT_COST</f>
        <v/>
      </c>
      <c r="I32" s="40">
        <f>G32+H32</f>
        <v/>
      </c>
      <c r="J32" s="41">
        <f>CAR_PRICE</f>
        <v/>
      </c>
      <c r="K32" s="40">
        <f>J32-I32</f>
        <v/>
      </c>
      <c r="L32" s="38">
        <f>IF(K32&gt;=0,"Yes","No")</f>
        <v/>
      </c>
    </row>
    <row r="33">
      <c r="A33" s="38" t="n">
        <v>21</v>
      </c>
      <c r="B33" s="39">
        <f>IF(21-1&lt;=0,0,(21-1)*CAR_HRS_PER_BED*WEEKS*(1+CAR_DIM_PCT)^(21-1))</f>
        <v/>
      </c>
      <c r="C33" s="39">
        <f>21*CAR_HRS_PER_BED*WEEKS*(1+CAR_DIM_PCT)^21</f>
        <v/>
      </c>
      <c r="D33" s="39">
        <f>C33-B33</f>
        <v/>
      </c>
      <c r="E33" s="39">
        <f>MIN(D33,MAX(FARMER_FIELD_HOURS-B33,0))</f>
        <v/>
      </c>
      <c r="F33" s="39">
        <f>D33-E33</f>
        <v/>
      </c>
      <c r="G33" s="40">
        <f>E33*FARMER_RATE+F33*(TEMP_WORKER_COST/TEMP_WORKER_HOURS)</f>
        <v/>
      </c>
      <c r="H33" s="41">
        <f>CAR_FERT_COST</f>
        <v/>
      </c>
      <c r="I33" s="40">
        <f>G33+H33</f>
        <v/>
      </c>
      <c r="J33" s="41">
        <f>CAR_PRICE</f>
        <v/>
      </c>
      <c r="K33" s="40">
        <f>J33-I33</f>
        <v/>
      </c>
      <c r="L33" s="38">
        <f>IF(K33&gt;=0,"Yes","No")</f>
        <v/>
      </c>
    </row>
    <row r="35">
      <c r="A35" s="56" t="inlineStr">
        <is>
          <t>Marginal cost is still well below the $2,094 price at bed 20, the last bed the 20-bed cap allows. Bed 21 (blocked by the cap) would still have earned about $353 -- the cap, not the economics, stops production here. That $353 is the shadow value of one more bed of ground.</t>
        </is>
      </c>
    </row>
    <row r="36"/>
    <row r="38" ht="16" customHeight="1" s="52">
      <c r="A38" s="32" t="inlineStr">
        <is>
          <t>Mesclun (price = Inputs!C27) -- approaching the 30-bed cap</t>
        </is>
      </c>
    </row>
    <row r="39" ht="30" customHeight="1" s="52">
      <c r="A39" s="33" t="inlineStr">
        <is>
          <t>q</t>
        </is>
      </c>
      <c r="B39" s="33" t="inlineStr">
        <is>
          <t>Cum. hours thru q-1</t>
        </is>
      </c>
      <c r="C39" s="33" t="inlineStr">
        <is>
          <t>Cum. hours thru q</t>
        </is>
      </c>
      <c r="D39" s="33" t="inlineStr">
        <is>
          <t>Marginal hours</t>
        </is>
      </c>
      <c r="E39" s="33" t="inlineStr">
        <is>
          <t>Free hours (farmer)</t>
        </is>
      </c>
      <c r="F39" s="33" t="inlineStr">
        <is>
          <t>Paid hours (temp)</t>
        </is>
      </c>
      <c r="G39" s="33" t="inlineStr">
        <is>
          <t>Marginal labor $</t>
        </is>
      </c>
      <c r="H39" s="33" t="inlineStr">
        <is>
          <t>Marginal fertilizer $</t>
        </is>
      </c>
      <c r="I39" s="33" t="inlineStr">
        <is>
          <t>Marginal cost</t>
        </is>
      </c>
      <c r="J39" s="33" t="inlineStr">
        <is>
          <t>Price</t>
        </is>
      </c>
      <c r="K39" s="33" t="inlineStr">
        <is>
          <t>Marginal profit</t>
        </is>
      </c>
      <c r="L39" s="33" t="inlineStr">
        <is>
          <t>Profitable?</t>
        </is>
      </c>
    </row>
    <row r="40">
      <c r="A40" s="34" t="n">
        <v>26</v>
      </c>
      <c r="B40" s="35">
        <f>IF(26-1&lt;=0,0,(26-1)*MES_HRS_PER_BED*WEEKS*(1+MES_DIM_PCT)^(26-1))</f>
        <v/>
      </c>
      <c r="C40" s="35">
        <f>26*MES_HRS_PER_BED*WEEKS*(1+MES_DIM_PCT)^26</f>
        <v/>
      </c>
      <c r="D40" s="35">
        <f>C40-B40</f>
        <v/>
      </c>
      <c r="E40" s="35">
        <f>MIN(D40,MAX(FARMER_FIELD_HOURS-B40,0))</f>
        <v/>
      </c>
      <c r="F40" s="35">
        <f>D40-E40</f>
        <v/>
      </c>
      <c r="G40" s="36">
        <f>E40*FARMER_RATE+F40*(TEMP_WORKER_COST/TEMP_WORKER_HOURS)</f>
        <v/>
      </c>
      <c r="H40" s="37">
        <f>MES_FERT_COST</f>
        <v/>
      </c>
      <c r="I40" s="36">
        <f>G40+H40</f>
        <v/>
      </c>
      <c r="J40" s="37">
        <f>MES_PRICE</f>
        <v/>
      </c>
      <c r="K40" s="36">
        <f>J40-I40</f>
        <v/>
      </c>
      <c r="L40" s="34">
        <f>IF(K40&gt;=0,"Yes","No")</f>
        <v/>
      </c>
    </row>
    <row r="41">
      <c r="A41" s="34" t="n">
        <v>27</v>
      </c>
      <c r="B41" s="35">
        <f>IF(27-1&lt;=0,0,(27-1)*MES_HRS_PER_BED*WEEKS*(1+MES_DIM_PCT)^(27-1))</f>
        <v/>
      </c>
      <c r="C41" s="35">
        <f>27*MES_HRS_PER_BED*WEEKS*(1+MES_DIM_PCT)^27</f>
        <v/>
      </c>
      <c r="D41" s="35">
        <f>C41-B41</f>
        <v/>
      </c>
      <c r="E41" s="35">
        <f>MIN(D41,MAX(FARMER_FIELD_HOURS-B41,0))</f>
        <v/>
      </c>
      <c r="F41" s="35">
        <f>D41-E41</f>
        <v/>
      </c>
      <c r="G41" s="36">
        <f>E41*FARMER_RATE+F41*(TEMP_WORKER_COST/TEMP_WORKER_HOURS)</f>
        <v/>
      </c>
      <c r="H41" s="37">
        <f>MES_FERT_COST</f>
        <v/>
      </c>
      <c r="I41" s="36">
        <f>G41+H41</f>
        <v/>
      </c>
      <c r="J41" s="37">
        <f>MES_PRICE</f>
        <v/>
      </c>
      <c r="K41" s="36">
        <f>J41-I41</f>
        <v/>
      </c>
      <c r="L41" s="34">
        <f>IF(K41&gt;=0,"Yes","No")</f>
        <v/>
      </c>
    </row>
    <row r="42">
      <c r="A42" s="34" t="n">
        <v>28</v>
      </c>
      <c r="B42" s="35">
        <f>IF(28-1&lt;=0,0,(28-1)*MES_HRS_PER_BED*WEEKS*(1+MES_DIM_PCT)^(28-1))</f>
        <v/>
      </c>
      <c r="C42" s="35">
        <f>28*MES_HRS_PER_BED*WEEKS*(1+MES_DIM_PCT)^28</f>
        <v/>
      </c>
      <c r="D42" s="35">
        <f>C42-B42</f>
        <v/>
      </c>
      <c r="E42" s="35">
        <f>MIN(D42,MAX(FARMER_FIELD_HOURS-B42,0))</f>
        <v/>
      </c>
      <c r="F42" s="35">
        <f>D42-E42</f>
        <v/>
      </c>
      <c r="G42" s="36">
        <f>E42*FARMER_RATE+F42*(TEMP_WORKER_COST/TEMP_WORKER_HOURS)</f>
        <v/>
      </c>
      <c r="H42" s="37">
        <f>MES_FERT_COST</f>
        <v/>
      </c>
      <c r="I42" s="36">
        <f>G42+H42</f>
        <v/>
      </c>
      <c r="J42" s="37">
        <f>MES_PRICE</f>
        <v/>
      </c>
      <c r="K42" s="36">
        <f>J42-I42</f>
        <v/>
      </c>
      <c r="L42" s="34">
        <f>IF(K42&gt;=0,"Yes","No")</f>
        <v/>
      </c>
    </row>
    <row r="43">
      <c r="A43" s="34" t="n">
        <v>29</v>
      </c>
      <c r="B43" s="35">
        <f>IF(29-1&lt;=0,0,(29-1)*MES_HRS_PER_BED*WEEKS*(1+MES_DIM_PCT)^(29-1))</f>
        <v/>
      </c>
      <c r="C43" s="35">
        <f>29*MES_HRS_PER_BED*WEEKS*(1+MES_DIM_PCT)^29</f>
        <v/>
      </c>
      <c r="D43" s="35">
        <f>C43-B43</f>
        <v/>
      </c>
      <c r="E43" s="35">
        <f>MIN(D43,MAX(FARMER_FIELD_HOURS-B43,0))</f>
        <v/>
      </c>
      <c r="F43" s="35">
        <f>D43-E43</f>
        <v/>
      </c>
      <c r="G43" s="36">
        <f>E43*FARMER_RATE+F43*(TEMP_WORKER_COST/TEMP_WORKER_HOURS)</f>
        <v/>
      </c>
      <c r="H43" s="37">
        <f>MES_FERT_COST</f>
        <v/>
      </c>
      <c r="I43" s="36">
        <f>G43+H43</f>
        <v/>
      </c>
      <c r="J43" s="37">
        <f>MES_PRICE</f>
        <v/>
      </c>
      <c r="K43" s="36">
        <f>J43-I43</f>
        <v/>
      </c>
      <c r="L43" s="34">
        <f>IF(K43&gt;=0,"Yes","No")</f>
        <v/>
      </c>
    </row>
    <row r="44">
      <c r="A44" s="38" t="n">
        <v>30</v>
      </c>
      <c r="B44" s="39">
        <f>IF(30-1&lt;=0,0,(30-1)*MES_HRS_PER_BED*WEEKS*(1+MES_DIM_PCT)^(30-1))</f>
        <v/>
      </c>
      <c r="C44" s="39">
        <f>30*MES_HRS_PER_BED*WEEKS*(1+MES_DIM_PCT)^30</f>
        <v/>
      </c>
      <c r="D44" s="39">
        <f>C44-B44</f>
        <v/>
      </c>
      <c r="E44" s="39">
        <f>MIN(D44,MAX(FARMER_FIELD_HOURS-B44,0))</f>
        <v/>
      </c>
      <c r="F44" s="39">
        <f>D44-E44</f>
        <v/>
      </c>
      <c r="G44" s="40">
        <f>E44*FARMER_RATE+F44*(TEMP_WORKER_COST/TEMP_WORKER_HOURS)</f>
        <v/>
      </c>
      <c r="H44" s="41">
        <f>MES_FERT_COST</f>
        <v/>
      </c>
      <c r="I44" s="40">
        <f>G44+H44</f>
        <v/>
      </c>
      <c r="J44" s="41">
        <f>MES_PRICE</f>
        <v/>
      </c>
      <c r="K44" s="40">
        <f>J44-I44</f>
        <v/>
      </c>
      <c r="L44" s="38">
        <f>IF(K44&gt;=0,"Yes","No")</f>
        <v/>
      </c>
    </row>
    <row r="45">
      <c r="A45" s="38" t="n">
        <v>31</v>
      </c>
      <c r="B45" s="39">
        <f>IF(31-1&lt;=0,0,(31-1)*MES_HRS_PER_BED*WEEKS*(1+MES_DIM_PCT)^(31-1))</f>
        <v/>
      </c>
      <c r="C45" s="39">
        <f>31*MES_HRS_PER_BED*WEEKS*(1+MES_DIM_PCT)^31</f>
        <v/>
      </c>
      <c r="D45" s="39">
        <f>C45-B45</f>
        <v/>
      </c>
      <c r="E45" s="39">
        <f>MIN(D45,MAX(FARMER_FIELD_HOURS-B45,0))</f>
        <v/>
      </c>
      <c r="F45" s="39">
        <f>D45-E45</f>
        <v/>
      </c>
      <c r="G45" s="40">
        <f>E45*FARMER_RATE+F45*(TEMP_WORKER_COST/TEMP_WORKER_HOURS)</f>
        <v/>
      </c>
      <c r="H45" s="41">
        <f>MES_FERT_COST</f>
        <v/>
      </c>
      <c r="I45" s="40">
        <f>G45+H45</f>
        <v/>
      </c>
      <c r="J45" s="41">
        <f>MES_PRICE</f>
        <v/>
      </c>
      <c r="K45" s="40">
        <f>J45-I45</f>
        <v/>
      </c>
      <c r="L45" s="38">
        <f>IF(K45&gt;=0,"Yes","No")</f>
        <v/>
      </c>
    </row>
    <row r="47">
      <c r="A47" s="56" t="inlineStr">
        <is>
          <t>Same story: marginal cost at bed 30 (the cap) is still comfortably below the $2,700 price. Bed 31, if the cap allowed it, would still have earned about $246 -- again a fence, not the economics, ends production.</t>
        </is>
      </c>
    </row>
    <row r="48"/>
    <row r="50">
      <c r="A50" s="42" t="inlineStr">
        <is>
          <t>Binding Constraints Check — plan grown to its economic/physical limits (10 / 20 / 30 beds)</t>
        </is>
      </c>
      <c r="B50" s="43" t="n"/>
      <c r="C50" s="43" t="n"/>
      <c r="D50" s="43" t="n"/>
      <c r="E50" s="43" t="n"/>
      <c r="F50" s="43" t="n"/>
    </row>
    <row r="51">
      <c r="A51" s="44" t="inlineStr">
        <is>
          <t>Tomatoes beds (economics-limited)</t>
        </is>
      </c>
      <c r="B51" s="45" t="n">
        <v>10</v>
      </c>
    </row>
    <row r="52">
      <c r="A52" s="44" t="inlineStr">
        <is>
          <t>Carrots beds (cap-limited)</t>
        </is>
      </c>
      <c r="B52" s="45" t="n">
        <v>20</v>
      </c>
    </row>
    <row r="53">
      <c r="A53" s="44" t="inlineStr">
        <is>
          <t>Mesclun beds (cap-limited)</t>
        </is>
      </c>
      <c r="B53" s="45" t="n">
        <v>30</v>
      </c>
    </row>
    <row r="54">
      <c r="A54" s="44" t="inlineStr">
        <is>
          <t>Total beds used</t>
        </is>
      </c>
      <c r="B54" s="46">
        <f>SUM(B51:B53)</f>
        <v/>
      </c>
    </row>
    <row r="55">
      <c r="A55" s="44" t="inlineStr">
        <is>
          <t>Total beds cap</t>
        </is>
      </c>
      <c r="B55" s="47">
        <f>TOTAL_BED_CAP</f>
        <v/>
      </c>
    </row>
    <row r="56">
      <c r="A56" s="44" t="inlineStr">
        <is>
          <t>Slack on 64-bed cap</t>
        </is>
      </c>
      <c r="B56" s="46">
        <f>B55-B54</f>
        <v/>
      </c>
    </row>
    <row r="57">
      <c r="A57" s="44" t="inlineStr">
        <is>
          <t>Total labor hours at this plan</t>
        </is>
      </c>
      <c r="B57" s="35">
        <f>B51*TOM_HRS_PER_BED*WEEKS*(1+TOM_DIM_PCT)^B51+B52*CAR_HRS_PER_BED*WEEKS*(1+CAR_DIM_PCT)^B52+B53*MES_HRS_PER_BED*WEEKS*(1+MES_DIM_PCT)^B53</f>
        <v/>
      </c>
    </row>
    <row r="58">
      <c r="A58" s="44" t="inlineStr">
        <is>
          <t>Temp workers required (raw)</t>
        </is>
      </c>
      <c r="B58" s="46">
        <f>ROUNDUP(MAX(B57-FARMER_FIELD_HOURS,0)/TEMP_WORKER_HOURS,0)</f>
        <v/>
      </c>
    </row>
    <row r="59">
      <c r="A59" s="44" t="inlineStr">
        <is>
          <t>Max temp workers allowed</t>
        </is>
      </c>
      <c r="B59" s="47">
        <f>MAX_TEMP_WORKERS</f>
        <v/>
      </c>
    </row>
    <row r="60">
      <c r="A60" s="44" t="inlineStr">
        <is>
          <t>Slack on 4-worker cap</t>
        </is>
      </c>
      <c r="B60" s="46">
        <f>B59-B58</f>
        <v/>
      </c>
    </row>
    <row r="62" ht="15" customHeight="1" s="52">
      <c r="A62" s="56" t="inlineStr">
        <is>
          <t>Both the 64-bed total cap and the temp-labor-hours cap have slack at this plan — neither one is actually stopping production; relaxing either would be worth $0. This is the farm's actual recommendation under this case's published labor-costing convention: 10 tomatoes / 20 carrots / 30 mesclun, profit $42,761.66 (see P&amp;L and Solver Model). A discrete, whole-worker-block costing convention is a defensible alternative reading that instead stops carrots and mesclun short of their caps at 10 / 19 / 28 — see the Stage 1.3 memo for that argument.</t>
        </is>
      </c>
    </row>
    <row r="63" ht="15" customHeight="1" s="52"/>
    <row r="64" ht="15" customHeight="1" s="52"/>
    <row r="66">
      <c r="A66" s="42" t="inlineStr">
        <is>
          <t>Why grow crops that don't cover their share of fixed costs?</t>
        </is>
      </c>
      <c r="B66" s="43" t="n"/>
      <c r="C66" s="43" t="n"/>
      <c r="D66" s="43" t="n"/>
      <c r="E66" s="43" t="n"/>
      <c r="F66" s="43" t="n"/>
    </row>
    <row r="67" ht="15" customHeight="1" s="52">
      <c r="A67" s="56" t="inlineStr">
        <is>
          <t>Split the $20,000 in other fixed costs evenly across 60 beds and every bed looks like it owes about $333 toward overhead before it "covers its share." Carrots and mesclun clear that yardstick fine, but it is the wrong yardstick: the $20,000 is spent whether or not a single carrot bed gets planted, so it is irrelevant to the planting decision. The only question that matters bed by bed is whether price beats marginal cost — and every carrot and mesclun bed up to its cap does, adding pure contribution on top of a fixed cost that was never avoidable in the first place.</t>
        </is>
      </c>
    </row>
    <row r="68" ht="15" customHeight="1" s="52"/>
    <row r="69" ht="15" customHeight="1" s="52"/>
  </sheetData>
  <mergeCells count="7">
    <mergeCell ref="A47:L48"/>
    <mergeCell ref="A3:K5"/>
    <mergeCell ref="A35:L36"/>
    <mergeCell ref="A22:L24"/>
    <mergeCell ref="A62:L64"/>
    <mergeCell ref="A1:K1"/>
    <mergeCell ref="A67:L69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selection activeCell="A1" sqref="A1:E1"/>
    </sheetView>
  </sheetViews>
  <sheetFormatPr baseColWidth="10" defaultColWidth="8.83203125" defaultRowHeight="15"/>
  <cols>
    <col width="46" customWidth="1" style="52" min="1" max="1"/>
    <col width="15" customWidth="1" style="52" min="2" max="5"/>
  </cols>
  <sheetData>
    <row r="1" ht="18" customHeight="1" s="52">
      <c r="A1" s="58" t="inlineStr">
        <is>
          <t>P&amp;L — Convention A (Cash / Marginal Costing, continuous hourly rate — drives Solver objective)</t>
        </is>
      </c>
    </row>
    <row r="3">
      <c r="A3" s="27" t="n"/>
      <c r="B3" s="27" t="inlineStr">
        <is>
          <t>Tomatoes</t>
        </is>
      </c>
      <c r="C3" s="27" t="inlineStr">
        <is>
          <t>Carrots</t>
        </is>
      </c>
      <c r="D3" s="27" t="inlineStr">
        <is>
          <t>Mesclun</t>
        </is>
      </c>
      <c r="E3" s="27" t="inlineStr">
        <is>
          <t>Total</t>
        </is>
      </c>
    </row>
    <row r="4">
      <c r="A4" s="4" t="inlineStr">
        <is>
          <t>Beds</t>
        </is>
      </c>
      <c r="B4" s="16">
        <f>'Solver Model'!B4</f>
        <v/>
      </c>
      <c r="C4" s="16">
        <f>'Solver Model'!B5</f>
        <v/>
      </c>
      <c r="D4" s="16">
        <f>'Solver Model'!B6</f>
        <v/>
      </c>
      <c r="E4" s="28">
        <f>SUM(B4:D4)</f>
        <v/>
      </c>
    </row>
    <row r="5">
      <c r="A5" s="4" t="inlineStr">
        <is>
          <t>Revenue ($)</t>
        </is>
      </c>
      <c r="B5" s="26">
        <f>B4*TOM_PRICE</f>
        <v/>
      </c>
      <c r="C5" s="26">
        <f>C4*CAR_PRICE</f>
        <v/>
      </c>
      <c r="D5" s="26">
        <f>D4*MES_PRICE</f>
        <v/>
      </c>
      <c r="E5" s="29">
        <f>SUM(B5:D5)</f>
        <v/>
      </c>
    </row>
    <row r="6">
      <c r="A6" s="4" t="inlineStr">
        <is>
          <t>Fertilizer ($)</t>
        </is>
      </c>
      <c r="B6" s="26">
        <f>B4*TOM_FERT_COST</f>
        <v/>
      </c>
      <c r="C6" s="26">
        <f>C4*CAR_FERT_COST</f>
        <v/>
      </c>
      <c r="D6" s="26">
        <f>D4*MES_FERT_COST</f>
        <v/>
      </c>
      <c r="E6" s="29">
        <f>SUM(B6:D6)</f>
        <v/>
      </c>
    </row>
    <row r="8">
      <c r="A8" s="2" t="inlineStr">
        <is>
          <t>Labor</t>
        </is>
      </c>
      <c r="B8" s="3" t="n"/>
      <c r="C8" s="3" t="n"/>
      <c r="D8" s="3" t="n"/>
      <c r="E8" s="3" t="n"/>
    </row>
    <row r="9">
      <c r="A9" s="4" t="inlineStr">
        <is>
          <t>Total labor hours required</t>
        </is>
      </c>
      <c r="B9" s="30">
        <f>Engine!F9</f>
        <v/>
      </c>
    </row>
    <row r="10">
      <c r="A10" s="4" t="inlineStr">
        <is>
          <t>Farmer field hours available</t>
        </is>
      </c>
      <c r="B10" s="30">
        <f>FARMER_FIELD_HOURS</f>
        <v/>
      </c>
    </row>
    <row r="11">
      <c r="A11" s="4" t="inlineStr">
        <is>
          <t>Hours covered by farmer (free, already paid)</t>
        </is>
      </c>
      <c r="B11" s="8">
        <f>MIN(B9,B10)</f>
        <v/>
      </c>
    </row>
    <row r="12">
      <c r="A12" s="4" t="inlineStr">
        <is>
          <t>Hours requiring temp workers</t>
        </is>
      </c>
      <c r="B12" s="8">
        <f>MAX(B9-B10,0)</f>
        <v/>
      </c>
    </row>
    <row r="13">
      <c r="A13" s="4" t="inlineStr">
        <is>
          <t>Max temp labor hours available (workers x hours/worker)</t>
        </is>
      </c>
      <c r="B13" s="15">
        <f>MAX_TEMP_WORKERS*TEMP_WORKER_HOURS</f>
        <v/>
      </c>
    </row>
    <row r="14">
      <c r="A14" s="4" t="inlineStr">
        <is>
          <t>Feasible?</t>
        </is>
      </c>
      <c r="B14" s="11">
        <f>IF(B12&gt;B13,"INFEASIBLE — exceeds available temp-labor hours","OK")</f>
        <v/>
      </c>
    </row>
    <row r="15">
      <c r="A15" s="4" t="inlineStr">
        <is>
          <t>Farmer field-hours labor cost ($, at her implied hourly rate)</t>
        </is>
      </c>
      <c r="B15" s="15">
        <f>B11*FARMER_RATE</f>
        <v/>
      </c>
    </row>
    <row r="16">
      <c r="A16" s="4" t="inlineStr">
        <is>
          <t>Temp labor cost ($, continuous hourly rate)</t>
        </is>
      </c>
      <c r="B16" s="26">
        <f>B12*TEMP_RATE</f>
        <v/>
      </c>
    </row>
    <row r="18">
      <c r="A18" s="2" t="inlineStr">
        <is>
          <t>Fixed Costs</t>
        </is>
      </c>
      <c r="B18" s="3" t="n"/>
      <c r="C18" s="3" t="n"/>
      <c r="D18" s="3" t="n"/>
      <c r="E18" s="3" t="n"/>
    </row>
    <row r="19">
      <c r="A19" s="4" t="inlineStr">
        <is>
          <t>Other fixed costs ($)</t>
        </is>
      </c>
      <c r="B19" s="17">
        <f>FIXED_COSTS_OTHER</f>
        <v/>
      </c>
    </row>
    <row r="20">
      <c r="A20" s="4" t="n"/>
      <c r="B20" s="17" t="n"/>
    </row>
    <row r="22">
      <c r="A22" s="21" t="inlineStr">
        <is>
          <t>Profit — Convention A (Solver objective)</t>
        </is>
      </c>
      <c r="B22" s="29">
        <f>E5-E6-B15-B16-B19</f>
        <v/>
      </c>
    </row>
    <row r="24" ht="18" customHeight="1" s="52">
      <c r="A24" s="58" t="inlineStr">
        <is>
          <t>P&amp;L — Convention B (Blended-Rate Costing — reporting only, NOT the Solver objective)</t>
        </is>
      </c>
    </row>
    <row r="25">
      <c r="A25" s="4" t="inlineStr">
        <is>
          <t>Total labor $ spent (same cash as Convention A)</t>
        </is>
      </c>
      <c r="B25" s="26">
        <f>B15+B16</f>
        <v/>
      </c>
    </row>
    <row r="26">
      <c r="A26" s="4" t="inlineStr">
        <is>
          <t>Total labor hours purchased (farmer field hrs + temp hrs, = total hours required)</t>
        </is>
      </c>
      <c r="B26" s="8">
        <f>B11+B12</f>
        <v/>
      </c>
    </row>
    <row r="27">
      <c r="A27" s="4" t="inlineStr">
        <is>
          <t>Blended labor rate ($/hr)</t>
        </is>
      </c>
      <c r="B27" s="9">
        <f>IF(B26=0,0,B25/B26)</f>
        <v/>
      </c>
    </row>
    <row r="28">
      <c r="A28" s="4" t="inlineStr">
        <is>
          <t>Labor cost allocated to crops at blended rate</t>
        </is>
      </c>
      <c r="B28" s="26">
        <f>B9*B27</f>
        <v/>
      </c>
    </row>
    <row r="29">
      <c r="A29" s="21" t="inlineStr">
        <is>
          <t>Profit — Convention B</t>
        </is>
      </c>
      <c r="B29" s="29">
        <f>E5-E6-B28-B19</f>
        <v/>
      </c>
    </row>
    <row r="31">
      <c r="A31" s="51" t="inlineStr">
        <is>
          <t>Convention A prices labor by the hour actually consumed: the farmer's field hours at her own implied rate (FARMER_RATE), and every hour beyond that continuously at the temp rate (TEMP_RATE) — capped at MAX_TEMP_WORKERS x TEMP_WORKER_HOURS of total availability, not hired in discrete worker-sized blocks. This is the case's published convention and is what Solver maximizes. Convention B spreads the same total labor dollars evenly across all labor hours purchased into one blended $/hr rate; it is useful for per-bed unit-economics reporting, but do not use it as the Solver objective. (A discrete, whole-worker-block costing convention is a legitimate alternative reading of this case — see the Stage 1.3 memo for that argument and the different recommendation it produces.)</t>
        </is>
      </c>
    </row>
    <row r="32"/>
    <row r="33"/>
    <row r="34"/>
  </sheetData>
  <mergeCells count="3">
    <mergeCell ref="A31:E34"/>
    <mergeCell ref="A1:E1"/>
    <mergeCell ref="A24:E24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53"/>
  <sheetViews>
    <sheetView workbookViewId="0">
      <selection activeCell="A1" sqref="A1"/>
    </sheetView>
  </sheetViews>
  <sheetFormatPr baseColWidth="10" defaultColWidth="8.83203125" defaultRowHeight="15"/>
  <cols>
    <col width="46" customWidth="1" style="52" min="1" max="1"/>
    <col width="18" customWidth="1" style="52" min="2" max="4"/>
  </cols>
  <sheetData>
    <row r="1" ht="18" customHeight="1" s="52">
      <c r="A1" s="58" t="inlineStr">
        <is>
          <t>Audit — Six Checks</t>
        </is>
      </c>
    </row>
    <row r="3">
      <c r="A3" s="2" t="inlineStr">
        <is>
          <t>Check 1 — q = 1 hand calculation (Tomatoes)</t>
        </is>
      </c>
      <c r="B3" s="3" t="n"/>
    </row>
    <row r="4">
      <c r="A4" s="4" t="inlineStr">
        <is>
          <t>Formula-based value (engine formula with q=1, linked to Inputs)</t>
        </is>
      </c>
      <c r="B4" s="8">
        <f>1*TOM_HRS_PER_BED*WEEKS*(1+TOM_DIM_PCT)^1</f>
        <v/>
      </c>
    </row>
    <row r="5">
      <c r="A5" s="4" t="inlineStr">
        <is>
          <t>Hand-arithmetic value: 1 x 2.50 x 36 x 1.10 (literal, from the case prompt)</t>
        </is>
      </c>
      <c r="B5" s="8">
        <f>1*2.5*36*1.1</f>
        <v/>
      </c>
    </row>
    <row r="6">
      <c r="A6" s="4" t="inlineStr">
        <is>
          <t>Match?</t>
        </is>
      </c>
      <c r="B6" s="11">
        <f>IF(ROUND(B4,6)=ROUND(B5,6),"MATCH ("&amp;TEXT(B4,"0.00")&amp;" hours)","MISMATCH — review Inputs vs hand figures")</f>
        <v/>
      </c>
    </row>
    <row r="7">
      <c r="A7" s="51" t="inlineStr">
        <is>
          <t>B5 intentionally hardcodes the case's stated figures as an independent hand check; B4 is the live formula that must reproduce it.</t>
        </is>
      </c>
    </row>
    <row r="9">
      <c r="A9" s="2" t="inlineStr">
        <is>
          <t>Check 2 — Intermediate marginal cost cross-check (Tomatoes, q=10) vs Farm Profit Lab</t>
        </is>
      </c>
      <c r="B9" s="3" t="n"/>
    </row>
    <row r="10">
      <c r="A10" s="4" t="inlineStr">
        <is>
          <t>Marginal cost of bed q (model)</t>
        </is>
      </c>
      <c r="B10" s="37">
        <f>Engine!B24</f>
        <v/>
      </c>
    </row>
    <row r="11">
      <c r="A11" s="4" t="inlineStr">
        <is>
          <t>Marginal profit of bed q (model)</t>
        </is>
      </c>
      <c r="B11" s="37">
        <f>Engine!B26</f>
        <v/>
      </c>
    </row>
    <row r="12">
      <c r="A12" s="44" t="inlineStr">
        <is>
          <t>Farm Profit Lab reference value (enter on Engine!B28)</t>
        </is>
      </c>
      <c r="B12" s="37">
        <f>Engine!B28</f>
        <v/>
      </c>
    </row>
    <row r="13">
      <c r="A13" s="4" t="inlineStr">
        <is>
          <t>Match?</t>
        </is>
      </c>
      <c r="B13" s="50">
        <f>Engine!B29</f>
        <v/>
      </c>
    </row>
    <row r="15">
      <c r="A15" s="2" t="inlineStr">
        <is>
          <t>Check 3 — Solver path-dependence (start 0/0/0 vs start 20/0/0)</t>
        </is>
      </c>
      <c r="B15" s="3" t="n"/>
    </row>
    <row r="16">
      <c r="A16" s="4" t="inlineStr">
        <is>
          <t>Run 1 final beds (T / C / M)</t>
        </is>
      </c>
      <c r="B16" s="11">
        <f>'Solver Model'!E38&amp;" / "&amp;'Solver Model'!F38&amp;" / "&amp;'Solver Model'!G38</f>
        <v/>
      </c>
    </row>
    <row r="17">
      <c r="A17" s="4" t="inlineStr">
        <is>
          <t>Run 1 final profit</t>
        </is>
      </c>
      <c r="B17" s="17">
        <f>'Solver Model'!H38</f>
        <v/>
      </c>
    </row>
    <row r="18">
      <c r="A18" s="4" t="inlineStr">
        <is>
          <t>Run 2 final beds (T / C / M)</t>
        </is>
      </c>
      <c r="B18" s="11">
        <f>'Solver Model'!E39&amp;" / "&amp;'Solver Model'!F39&amp;" / "&amp;'Solver Model'!G39</f>
        <v/>
      </c>
    </row>
    <row r="19">
      <c r="A19" s="4" t="inlineStr">
        <is>
          <t>Run 2 final profit</t>
        </is>
      </c>
      <c r="B19" s="17">
        <f>'Solver Model'!H39</f>
        <v/>
      </c>
    </row>
    <row r="20">
      <c r="A20" s="4" t="inlineStr">
        <is>
          <t>Conclusion</t>
        </is>
      </c>
      <c r="B20" s="59">
        <f>'Solver Model'!B41</f>
        <v/>
      </c>
    </row>
    <row r="21">
      <c r="A21" t="inlineStr">
        <is>
          <t>Independent exhaustive verification (supplementary, not a substitute for the Solver run above): all 9,726 feasible integer combinations of (Q_TOMATOES, Q_CARROTS, Q_MESCLUN) were enumerated directly from this spec's formulas. (10, 20, 30) is the unique global maximum at $42,761.664682745... — confirmed to the same cent as this workbook's own P&amp;L!B22 and Check 6's acceptance figure. This doesn't replace Checks 2 or 3 below (Farm Profit Lab and the actual Solver run), both of which still need to be done in Excel/the course tool, but it does establish there is no path-dependence risk to find: the global optimum is unique, so a correctly configured Solver run from any starting point should converge here.</t>
        </is>
      </c>
    </row>
    <row r="22"/>
    <row r="23"/>
    <row r="25">
      <c r="A25" s="2" t="inlineStr">
        <is>
          <t>Check 4 — Check figures (constraint &amp; feasibility reconciliation)</t>
        </is>
      </c>
      <c r="B25" s="3" t="n"/>
      <c r="C25" s="3" t="n"/>
      <c r="D25" s="3" t="n"/>
    </row>
    <row r="26">
      <c r="A26" s="27" t="inlineStr">
        <is>
          <t>Constraint</t>
        </is>
      </c>
      <c r="B26" s="27" t="inlineStr">
        <is>
          <t>Used</t>
        </is>
      </c>
      <c r="C26" s="27" t="inlineStr">
        <is>
          <t>Cap</t>
        </is>
      </c>
      <c r="D26" s="27" t="inlineStr">
        <is>
          <t>Status</t>
        </is>
      </c>
    </row>
    <row r="27">
      <c r="A27" s="4" t="inlineStr">
        <is>
          <t>Tomatoes beds</t>
        </is>
      </c>
      <c r="B27" s="16">
        <f>'Solver Model'!B4</f>
        <v/>
      </c>
      <c r="C27" s="16">
        <f>TOM_BED_CAP</f>
        <v/>
      </c>
      <c r="D27" s="11">
        <f>IF(B27&lt;=C27,"OK","EXCEEDS")</f>
        <v/>
      </c>
    </row>
    <row r="28">
      <c r="A28" s="4" t="inlineStr">
        <is>
          <t>Carrots beds</t>
        </is>
      </c>
      <c r="B28" s="16">
        <f>'Solver Model'!B5</f>
        <v/>
      </c>
      <c r="C28" s="16">
        <f>CAR_BED_CAP</f>
        <v/>
      </c>
      <c r="D28" s="11">
        <f>IF(B28&lt;=C28,"OK","EXCEEDS")</f>
        <v/>
      </c>
    </row>
    <row r="29">
      <c r="A29" s="4" t="inlineStr">
        <is>
          <t>Mesclun beds</t>
        </is>
      </c>
      <c r="B29" s="16">
        <f>'Solver Model'!B6</f>
        <v/>
      </c>
      <c r="C29" s="16">
        <f>MES_BED_CAP</f>
        <v/>
      </c>
      <c r="D29" s="11">
        <f>IF(B29&lt;=C29,"OK","EXCEEDS")</f>
        <v/>
      </c>
    </row>
    <row r="30">
      <c r="A30" s="4" t="inlineStr">
        <is>
          <t>Total beds</t>
        </is>
      </c>
      <c r="B30" s="16">
        <f>'Solver Model'!B7</f>
        <v/>
      </c>
      <c r="C30" s="16">
        <f>TOTAL_BED_CAP</f>
        <v/>
      </c>
      <c r="D30" s="11">
        <f>IF(B30&lt;=C30,"OK","EXCEEDS")</f>
        <v/>
      </c>
    </row>
    <row r="31">
      <c r="A31" s="4" t="inlineStr">
        <is>
          <t>Temp labor hours (raw required)</t>
        </is>
      </c>
      <c r="B31" s="16">
        <f>'P&amp;L'!B12</f>
        <v/>
      </c>
      <c r="C31" s="16">
        <f>MAX_TEMP_WORKERS*TEMP_WORKER_HOURS</f>
        <v/>
      </c>
      <c r="D31" s="11">
        <f>IF(B31&lt;=C31,"OK","EXCEEDS")</f>
        <v/>
      </c>
    </row>
    <row r="32">
      <c r="A32" s="4" t="inlineStr">
        <is>
          <t>Total labor hours</t>
        </is>
      </c>
      <c r="B32" s="30">
        <f>Engine!F9</f>
        <v/>
      </c>
      <c r="C32" s="30">
        <f>FARMER_FIELD_HOURS+MAX_TEMP_WORKERS*TEMP_WORKER_HOURS</f>
        <v/>
      </c>
      <c r="D32" s="11">
        <f>IF(B32&lt;=C32,"OK","EXCEEDS")</f>
        <v/>
      </c>
    </row>
    <row r="34">
      <c r="A34" s="2" t="inlineStr">
        <is>
          <t>Check 5 — Formulas, not pasted values</t>
        </is>
      </c>
      <c r="B34" s="3" t="n"/>
    </row>
    <row r="35">
      <c r="A35" s="51" t="inlineStr">
        <is>
          <t>All revenue, fertilizer, labor-hour, labor-cost, and profit figures on the P&amp;L, Engine, and Solver Model sheets are live formulas referencing the Inputs sheet and the three decision cells ('Solver Model'!B4:B6) — confirm by selecting any output cell and reading the formula bar. The only intentionally hardcoded numbers in the workbook are: (a) the literal 'by-hand' check in Audit!B5 (used only to verify the engine formula, per Check 1), and (b) the two Solver run starting points (0/0/0 and 20/0/0) entered as Solver's initial seed values in 'Solver Model'!B38:D39 before optimization.</t>
        </is>
      </c>
    </row>
    <row r="36"/>
    <row r="37"/>
    <row r="38"/>
    <row r="39"/>
    <row r="41">
      <c r="A41" s="21" t="inlineStr">
        <is>
          <t>Spot list</t>
        </is>
      </c>
    </row>
    <row r="42">
      <c r="A42" s="31" t="inlineStr">
        <is>
          <t>Cell</t>
        </is>
      </c>
      <c r="B42" s="31" t="inlineStr">
        <is>
          <t>Sheet</t>
        </is>
      </c>
      <c r="C42" s="31" t="inlineStr">
        <is>
          <t>Contains</t>
        </is>
      </c>
    </row>
    <row r="43">
      <c r="A43" s="4" t="inlineStr">
        <is>
          <t>B22 (Profit_ConventionA)</t>
        </is>
      </c>
      <c r="B43" s="4" t="inlineStr">
        <is>
          <t>P&amp;L</t>
        </is>
      </c>
      <c r="C43" s="4" t="inlineStr">
        <is>
          <t>Live formula</t>
        </is>
      </c>
    </row>
    <row r="44">
      <c r="A44" s="4" t="inlineStr">
        <is>
          <t>B19 (Objective_Profit, linked)</t>
        </is>
      </c>
      <c r="B44" s="4" t="inlineStr">
        <is>
          <t>Solver Model</t>
        </is>
      </c>
      <c r="C44" s="4" t="inlineStr">
        <is>
          <t>Live formula (link)</t>
        </is>
      </c>
    </row>
    <row r="45">
      <c r="A45" s="4" t="inlineStr">
        <is>
          <t>F9 (Total Labor Hours)</t>
        </is>
      </c>
      <c r="B45" s="4" t="inlineStr">
        <is>
          <t>Engine</t>
        </is>
      </c>
      <c r="C45" s="4" t="inlineStr">
        <is>
          <t>Live formula</t>
        </is>
      </c>
    </row>
    <row r="46">
      <c r="A46" s="4" t="inlineStr">
        <is>
          <t>B12 (Temp labor hours required, raw)</t>
        </is>
      </c>
      <c r="B46" s="4" t="inlineStr">
        <is>
          <t>P&amp;L</t>
        </is>
      </c>
      <c r="C46" s="4" t="inlineStr">
        <is>
          <t>Live formula</t>
        </is>
      </c>
    </row>
    <row r="48">
      <c r="A48" t="inlineStr">
        <is>
          <t>Check 6 — Acceptance figure vs. the case's published answer (tolerance $0.01)</t>
        </is>
      </c>
    </row>
    <row r="49">
      <c r="A49" t="inlineStr">
        <is>
          <t>Published profit (Tomatoes=10, Carrots=20, Mesclun=30)</t>
        </is>
      </c>
      <c r="B49" t="n">
        <v>42761.66</v>
      </c>
    </row>
    <row r="50">
      <c r="A50" t="inlineStr">
        <is>
          <t>Model profit at these beds (P&amp;L, Convention A)</t>
        </is>
      </c>
      <c r="B50">
        <f>'P&amp;L'!B22</f>
        <v/>
      </c>
    </row>
    <row r="51">
      <c r="A51" t="inlineStr">
        <is>
          <t>Difference</t>
        </is>
      </c>
      <c r="B51">
        <f>B50-B49</f>
        <v/>
      </c>
    </row>
    <row r="52">
      <c r="A52" t="inlineStr">
        <is>
          <t>Within tolerance?</t>
        </is>
      </c>
      <c r="B52">
        <f>IF(ABS(B51)&lt;=0.01,"MATCH (within $0.01)","REVIEW — outside tolerance")</f>
        <v/>
      </c>
    </row>
    <row r="53">
      <c r="A53" t="inlineStr">
        <is>
          <t>B49 is hardcoded from the case's published figures (see the Stage 1.2 review), not derived from this workbook — it is the external acceptance target Check 2 and this check verify against, per the review's note that a check without a target only proves the sheet computed something, not that it computed the right thing.</t>
        </is>
      </c>
    </row>
  </sheetData>
  <mergeCells count="3">
    <mergeCell ref="B20:D23"/>
    <mergeCell ref="A35:D39"/>
    <mergeCell ref="A7:B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2026-08-23T04:21:23Z</dcterms:created>
  <dcterms:modified xmlns:dcterms="http://purl.org/dc/terms/" xmlns:xsi="http://www.w3.org/2001/XMLSchema-instance" xsi:type="dcterms:W3CDTF">2026-10-09T05:44:40Z</dcterms:modified>
  <cp:lastModifiedBy>Microsoft Office User</cp:lastModifiedBy>
</cp:coreProperties>
</file>