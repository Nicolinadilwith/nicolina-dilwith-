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nicolinapascua/Downloads/"/>
    </mc:Choice>
  </mc:AlternateContent>
  <xr:revisionPtr revIDLastSave="0" documentId="13_ncr:1_{2CAFE62B-4129-6F41-AEC5-AECF5A5FCBD3}" xr6:coauthVersionLast="47" xr6:coauthVersionMax="47" xr10:uidLastSave="{00000000-0000-0000-0000-000000000000}"/>
  <bookViews>
    <workbookView xWindow="20" yWindow="500" windowWidth="28800" windowHeight="16100" activeTab="1" xr2:uid="{00000000-000D-0000-FFFF-FFFF00000000}"/>
  </bookViews>
  <sheets>
    <sheet name="Inputs" sheetId="1" r:id="rId1"/>
    <sheet name="Solver Model" sheetId="2" r:id="rId2"/>
    <sheet name="Engine" sheetId="3" r:id="rId3"/>
    <sheet name="Marginal Analysis" sheetId="4" r:id="rId4"/>
    <sheet name="P&amp;L" sheetId="5" r:id="rId5"/>
    <sheet name="Audit" sheetId="6" r:id="rId6"/>
  </sheets>
  <definedNames>
    <definedName name="solver_adj" localSheetId="0" hidden="1">Inputs!$B$4:$B$6</definedName>
    <definedName name="solver_adj" localSheetId="1" hidden="1">'Solver Model'!$B$4:$B$6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Inputs!$B$4</definedName>
    <definedName name="solver_lhs1" localSheetId="1" hidden="1">'Solver Model'!$B$4</definedName>
    <definedName name="solver_lhs2" localSheetId="0" hidden="1">Inputs!$B$4:$B$6</definedName>
    <definedName name="solver_lhs2" localSheetId="1" hidden="1">'Solver Model'!$B$4:$B$6</definedName>
    <definedName name="solver_lhs3" localSheetId="0" hidden="1">Inputs!$B$5</definedName>
    <definedName name="solver_lhs3" localSheetId="1" hidden="1">'Solver Model'!$B$5</definedName>
    <definedName name="solver_lhs4" localSheetId="0" hidden="1">Inputs!$B$6</definedName>
    <definedName name="solver_lhs4" localSheetId="1" hidden="1">'Solver Model'!$B$6</definedName>
    <definedName name="solver_lhs5" localSheetId="0" hidden="1">Inputs!$B$7</definedName>
    <definedName name="solver_lhs5" localSheetId="1" hidden="1">'Solver Model'!$B$7</definedName>
    <definedName name="solver_lhs6" localSheetId="0" hidden="1">Inputs!$B$8</definedName>
    <definedName name="solver_lhs6" localSheetId="1" hidden="1">'Solver Model'!$B$8</definedName>
    <definedName name="solver_lin" localSheetId="0" hidden="1">2</definedName>
    <definedName name="solver_lin" localSheetId="1" hidden="1">2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6</definedName>
    <definedName name="solver_num" localSheetId="1" hidden="1">6</definedName>
    <definedName name="solver_opt" localSheetId="0" hidden="1">Inputs!$B$19</definedName>
    <definedName name="solver_opt" localSheetId="1" hidden="1">'Solver Model'!$B$19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1</definedName>
    <definedName name="solver_rel1" localSheetId="1" hidden="1">1</definedName>
    <definedName name="solver_rel2" localSheetId="0" hidden="1">4</definedName>
    <definedName name="solver_rel2" localSheetId="1" hidden="1">4</definedName>
    <definedName name="solver_rel3" localSheetId="0" hidden="1">1</definedName>
    <definedName name="solver_rel3" localSheetId="1" hidden="1">1</definedName>
    <definedName name="solver_rel4" localSheetId="0" hidden="1">1</definedName>
    <definedName name="solver_rel4" localSheetId="1" hidden="1">1</definedName>
    <definedName name="solver_rel5" localSheetId="0" hidden="1">1</definedName>
    <definedName name="solver_rel5" localSheetId="1" hidden="1">1</definedName>
    <definedName name="solver_rel6" localSheetId="0" hidden="1">1</definedName>
    <definedName name="solver_rel6" localSheetId="1" hidden="1">1</definedName>
    <definedName name="solver_rhs1" localSheetId="0" hidden="1">20</definedName>
    <definedName name="solver_rhs1" localSheetId="1" hidden="1">20</definedName>
    <definedName name="solver_rhs2" localSheetId="0" hidden="1">"integer"</definedName>
    <definedName name="solver_rhs2" localSheetId="1" hidden="1">"integer"</definedName>
    <definedName name="solver_rhs3" localSheetId="0" hidden="1">20</definedName>
    <definedName name="solver_rhs3" localSheetId="1" hidden="1">20</definedName>
    <definedName name="solver_rhs4" localSheetId="0" hidden="1">30</definedName>
    <definedName name="solver_rhs4" localSheetId="1" hidden="1">30</definedName>
    <definedName name="solver_rhs5" localSheetId="0" hidden="1">64</definedName>
    <definedName name="solver_rhs5" localSheetId="1" hidden="1">64</definedName>
    <definedName name="solver_rhs6" localSheetId="0" hidden="1">4</definedName>
    <definedName name="solver_rhs6" localSheetId="1" hidden="1">4</definedName>
    <definedName name="solver_rlx" localSheetId="0" hidden="1">1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2</definedName>
    <definedName name="solver_ver" localSheetId="1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9" i="6" l="1"/>
  <c r="C31" i="6"/>
  <c r="C30" i="6"/>
  <c r="C29" i="6"/>
  <c r="B29" i="6"/>
  <c r="D29" i="6" s="1"/>
  <c r="C28" i="6"/>
  <c r="B28" i="6"/>
  <c r="D28" i="6" s="1"/>
  <c r="C27" i="6"/>
  <c r="B27" i="6"/>
  <c r="D27" i="6" s="1"/>
  <c r="B18" i="6"/>
  <c r="B17" i="6"/>
  <c r="B16" i="6"/>
  <c r="B13" i="6"/>
  <c r="B12" i="6"/>
  <c r="B5" i="6"/>
  <c r="B6" i="6" s="1"/>
  <c r="B4" i="6"/>
  <c r="B20" i="5"/>
  <c r="B19" i="5"/>
  <c r="B10" i="5"/>
  <c r="D4" i="5"/>
  <c r="D5" i="5" s="1"/>
  <c r="C4" i="5"/>
  <c r="C6" i="5" s="1"/>
  <c r="B4" i="5"/>
  <c r="B6" i="5" s="1"/>
  <c r="B59" i="4"/>
  <c r="B60" i="4" s="1"/>
  <c r="B58" i="4"/>
  <c r="B57" i="4"/>
  <c r="B55" i="4"/>
  <c r="B56" i="4" s="1"/>
  <c r="B54" i="4"/>
  <c r="J45" i="4"/>
  <c r="H45" i="4"/>
  <c r="C45" i="4"/>
  <c r="D45" i="4" s="1"/>
  <c r="B45" i="4"/>
  <c r="J44" i="4"/>
  <c r="H44" i="4"/>
  <c r="D44" i="4"/>
  <c r="C44" i="4"/>
  <c r="B44" i="4"/>
  <c r="E44" i="4" s="1"/>
  <c r="J43" i="4"/>
  <c r="H43" i="4"/>
  <c r="D43" i="4"/>
  <c r="C43" i="4"/>
  <c r="B43" i="4"/>
  <c r="J42" i="4"/>
  <c r="H42" i="4"/>
  <c r="C42" i="4"/>
  <c r="D42" i="4" s="1"/>
  <c r="B42" i="4"/>
  <c r="J41" i="4"/>
  <c r="H41" i="4"/>
  <c r="C41" i="4"/>
  <c r="D41" i="4" s="1"/>
  <c r="B41" i="4"/>
  <c r="E41" i="4" s="1"/>
  <c r="J40" i="4"/>
  <c r="H40" i="4"/>
  <c r="E40" i="4"/>
  <c r="F40" i="4" s="1"/>
  <c r="G40" i="4" s="1"/>
  <c r="I40" i="4" s="1"/>
  <c r="D40" i="4"/>
  <c r="C40" i="4"/>
  <c r="B40" i="4"/>
  <c r="J33" i="4"/>
  <c r="H33" i="4"/>
  <c r="C33" i="4"/>
  <c r="D33" i="4" s="1"/>
  <c r="B33" i="4"/>
  <c r="J32" i="4"/>
  <c r="H32" i="4"/>
  <c r="C32" i="4"/>
  <c r="D32" i="4" s="1"/>
  <c r="B32" i="4"/>
  <c r="J31" i="4"/>
  <c r="H31" i="4"/>
  <c r="C31" i="4"/>
  <c r="D31" i="4" s="1"/>
  <c r="B31" i="4"/>
  <c r="J30" i="4"/>
  <c r="H30" i="4"/>
  <c r="D30" i="4"/>
  <c r="C30" i="4"/>
  <c r="B30" i="4"/>
  <c r="E30" i="4" s="1"/>
  <c r="J29" i="4"/>
  <c r="H29" i="4"/>
  <c r="D29" i="4"/>
  <c r="C29" i="4"/>
  <c r="B29" i="4"/>
  <c r="J28" i="4"/>
  <c r="H28" i="4"/>
  <c r="C28" i="4"/>
  <c r="D28" i="4" s="1"/>
  <c r="B28" i="4"/>
  <c r="J20" i="4"/>
  <c r="H20" i="4"/>
  <c r="C20" i="4"/>
  <c r="D20" i="4" s="1"/>
  <c r="B20" i="4"/>
  <c r="E20" i="4" s="1"/>
  <c r="J19" i="4"/>
  <c r="H19" i="4"/>
  <c r="E19" i="4"/>
  <c r="F19" i="4" s="1"/>
  <c r="G19" i="4" s="1"/>
  <c r="I19" i="4" s="1"/>
  <c r="D19" i="4"/>
  <c r="C19" i="4"/>
  <c r="B19" i="4"/>
  <c r="J18" i="4"/>
  <c r="H18" i="4"/>
  <c r="C18" i="4"/>
  <c r="D18" i="4" s="1"/>
  <c r="B18" i="4"/>
  <c r="J17" i="4"/>
  <c r="H17" i="4"/>
  <c r="C17" i="4"/>
  <c r="D17" i="4" s="1"/>
  <c r="B17" i="4"/>
  <c r="J16" i="4"/>
  <c r="H16" i="4"/>
  <c r="C16" i="4"/>
  <c r="D16" i="4" s="1"/>
  <c r="B16" i="4"/>
  <c r="J15" i="4"/>
  <c r="H15" i="4"/>
  <c r="C15" i="4"/>
  <c r="B15" i="4"/>
  <c r="J14" i="4"/>
  <c r="H14" i="4"/>
  <c r="D14" i="4"/>
  <c r="C14" i="4"/>
  <c r="B14" i="4"/>
  <c r="J13" i="4"/>
  <c r="H13" i="4"/>
  <c r="C13" i="4"/>
  <c r="D13" i="4" s="1"/>
  <c r="B13" i="4"/>
  <c r="J12" i="4"/>
  <c r="H12" i="4"/>
  <c r="C12" i="4"/>
  <c r="D12" i="4" s="1"/>
  <c r="B12" i="4"/>
  <c r="E12" i="4" s="1"/>
  <c r="J11" i="4"/>
  <c r="H11" i="4"/>
  <c r="C11" i="4"/>
  <c r="B11" i="4"/>
  <c r="D11" i="4" s="1"/>
  <c r="J10" i="4"/>
  <c r="H10" i="4"/>
  <c r="C10" i="4"/>
  <c r="D10" i="4" s="1"/>
  <c r="B10" i="4"/>
  <c r="J9" i="4"/>
  <c r="H9" i="4"/>
  <c r="C9" i="4"/>
  <c r="D9" i="4" s="1"/>
  <c r="B9" i="4"/>
  <c r="B29" i="3"/>
  <c r="B25" i="3"/>
  <c r="B23" i="3"/>
  <c r="B15" i="3"/>
  <c r="B14" i="3"/>
  <c r="B17" i="3" s="1"/>
  <c r="E8" i="3"/>
  <c r="D8" i="3"/>
  <c r="C8" i="3"/>
  <c r="B8" i="3"/>
  <c r="F8" i="3" s="1"/>
  <c r="E7" i="3"/>
  <c r="D7" i="3"/>
  <c r="C7" i="3"/>
  <c r="B7" i="3"/>
  <c r="E6" i="3"/>
  <c r="D6" i="3"/>
  <c r="C6" i="3"/>
  <c r="B6" i="3"/>
  <c r="F6" i="3" s="1"/>
  <c r="B41" i="2"/>
  <c r="B20" i="6" s="1"/>
  <c r="B13" i="2"/>
  <c r="B12" i="2"/>
  <c r="B11" i="2"/>
  <c r="B7" i="2"/>
  <c r="B30" i="6" s="1"/>
  <c r="D30" i="6" s="1"/>
  <c r="B20" i="1"/>
  <c r="B15" i="1"/>
  <c r="B14" i="1"/>
  <c r="E45" i="4" s="1"/>
  <c r="C5" i="5" l="1"/>
  <c r="F7" i="3"/>
  <c r="F9" i="3" s="1"/>
  <c r="B5" i="5"/>
  <c r="E5" i="5" s="1"/>
  <c r="E11" i="4"/>
  <c r="F11" i="4" s="1"/>
  <c r="G11" i="4" s="1"/>
  <c r="I11" i="4" s="1"/>
  <c r="K11" i="4" s="1"/>
  <c r="L11" i="4" s="1"/>
  <c r="F20" i="4"/>
  <c r="G20" i="4" s="1"/>
  <c r="I20" i="4" s="1"/>
  <c r="K20" i="4" s="1"/>
  <c r="L20" i="4" s="1"/>
  <c r="K30" i="4"/>
  <c r="L30" i="4" s="1"/>
  <c r="E9" i="4"/>
  <c r="F9" i="4" s="1"/>
  <c r="G9" i="4" s="1"/>
  <c r="I9" i="4" s="1"/>
  <c r="K9" i="4" s="1"/>
  <c r="L9" i="4" s="1"/>
  <c r="F17" i="4"/>
  <c r="G17" i="4" s="1"/>
  <c r="I17" i="4" s="1"/>
  <c r="K17" i="4" s="1"/>
  <c r="L17" i="4" s="1"/>
  <c r="E17" i="4"/>
  <c r="F31" i="4"/>
  <c r="G31" i="4" s="1"/>
  <c r="I31" i="4" s="1"/>
  <c r="K31" i="4" s="1"/>
  <c r="L31" i="4" s="1"/>
  <c r="F33" i="4"/>
  <c r="G33" i="4" s="1"/>
  <c r="I33" i="4" s="1"/>
  <c r="K33" i="4" s="1"/>
  <c r="L33" i="4" s="1"/>
  <c r="K40" i="4"/>
  <c r="L40" i="4" s="1"/>
  <c r="F44" i="4"/>
  <c r="G44" i="4" s="1"/>
  <c r="I44" i="4" s="1"/>
  <c r="F41" i="4"/>
  <c r="G41" i="4" s="1"/>
  <c r="I41" i="4" s="1"/>
  <c r="K44" i="4"/>
  <c r="L44" i="4" s="1"/>
  <c r="F12" i="4"/>
  <c r="G12" i="4" s="1"/>
  <c r="I12" i="4" s="1"/>
  <c r="K12" i="4" s="1"/>
  <c r="L12" i="4" s="1"/>
  <c r="F43" i="4"/>
  <c r="G43" i="4" s="1"/>
  <c r="I43" i="4" s="1"/>
  <c r="K43" i="4" s="1"/>
  <c r="L43" i="4" s="1"/>
  <c r="F14" i="4"/>
  <c r="G14" i="4" s="1"/>
  <c r="I14" i="4" s="1"/>
  <c r="K14" i="4" s="1"/>
  <c r="L14" i="4" s="1"/>
  <c r="F16" i="4"/>
  <c r="G16" i="4" s="1"/>
  <c r="I16" i="4" s="1"/>
  <c r="K16" i="4" s="1"/>
  <c r="L16" i="4" s="1"/>
  <c r="K19" i="4"/>
  <c r="L19" i="4" s="1"/>
  <c r="F30" i="4"/>
  <c r="G30" i="4" s="1"/>
  <c r="I30" i="4" s="1"/>
  <c r="E32" i="4"/>
  <c r="F32" i="4" s="1"/>
  <c r="G32" i="4" s="1"/>
  <c r="I32" i="4" s="1"/>
  <c r="K32" i="4" s="1"/>
  <c r="L32" i="4" s="1"/>
  <c r="K41" i="4"/>
  <c r="L41" i="4" s="1"/>
  <c r="F45" i="4"/>
  <c r="G45" i="4" s="1"/>
  <c r="I45" i="4" s="1"/>
  <c r="K45" i="4" s="1"/>
  <c r="L45" i="4" s="1"/>
  <c r="E29" i="4"/>
  <c r="F29" i="4" s="1"/>
  <c r="G29" i="4" s="1"/>
  <c r="I29" i="4" s="1"/>
  <c r="K29" i="4" s="1"/>
  <c r="L29" i="4" s="1"/>
  <c r="E43" i="4"/>
  <c r="E4" i="5"/>
  <c r="E14" i="4"/>
  <c r="D6" i="5"/>
  <c r="E6" i="5" s="1"/>
  <c r="B16" i="3"/>
  <c r="B18" i="3" s="1"/>
  <c r="D15" i="4"/>
  <c r="E15" i="4" s="1"/>
  <c r="B14" i="2"/>
  <c r="E10" i="4"/>
  <c r="F10" i="4" s="1"/>
  <c r="G10" i="4" s="1"/>
  <c r="I10" i="4" s="1"/>
  <c r="K10" i="4" s="1"/>
  <c r="L10" i="4" s="1"/>
  <c r="E18" i="4"/>
  <c r="F18" i="4" s="1"/>
  <c r="G18" i="4" s="1"/>
  <c r="I18" i="4" s="1"/>
  <c r="K18" i="4" s="1"/>
  <c r="L18" i="4" s="1"/>
  <c r="E33" i="4"/>
  <c r="B19" i="3"/>
  <c r="E13" i="4"/>
  <c r="F13" i="4" s="1"/>
  <c r="G13" i="4" s="1"/>
  <c r="I13" i="4" s="1"/>
  <c r="K13" i="4" s="1"/>
  <c r="L13" i="4" s="1"/>
  <c r="E28" i="4"/>
  <c r="F28" i="4" s="1"/>
  <c r="G28" i="4" s="1"/>
  <c r="I28" i="4" s="1"/>
  <c r="K28" i="4" s="1"/>
  <c r="L28" i="4" s="1"/>
  <c r="E42" i="4"/>
  <c r="F42" i="4" s="1"/>
  <c r="G42" i="4" s="1"/>
  <c r="I42" i="4" s="1"/>
  <c r="K42" i="4" s="1"/>
  <c r="L42" i="4" s="1"/>
  <c r="C32" i="6"/>
  <c r="E16" i="4"/>
  <c r="E31" i="4"/>
  <c r="B32" i="6" l="1"/>
  <c r="D32" i="6" s="1"/>
  <c r="B9" i="5"/>
  <c r="B12" i="5" s="1"/>
  <c r="B13" i="5" s="1"/>
  <c r="F15" i="4"/>
  <c r="G15" i="4" s="1"/>
  <c r="I15" i="4" s="1"/>
  <c r="K15" i="4" s="1"/>
  <c r="L15" i="4" s="1"/>
  <c r="B11" i="5"/>
  <c r="B20" i="3"/>
  <c r="B21" i="3" s="1"/>
  <c r="B22" i="3" s="1"/>
  <c r="B24" i="3" s="1"/>
  <c r="B10" i="6" l="1"/>
  <c r="B26" i="3"/>
  <c r="B11" i="6" s="1"/>
  <c r="B14" i="5"/>
  <c r="B8" i="2"/>
  <c r="B15" i="2" s="1"/>
  <c r="B15" i="5"/>
  <c r="B31" i="6"/>
  <c r="D31" i="6" s="1"/>
  <c r="B16" i="5" l="1"/>
  <c r="B26" i="5"/>
  <c r="B25" i="5" l="1"/>
  <c r="B27" i="5" s="1"/>
  <c r="B28" i="5" s="1"/>
  <c r="B29" i="5" s="1"/>
  <c r="B22" i="5"/>
  <c r="B19" i="2" s="1"/>
</calcChain>
</file>

<file path=xl/sharedStrings.xml><?xml version="1.0" encoding="utf-8"?>
<sst xmlns="http://schemas.openxmlformats.org/spreadsheetml/2006/main" count="237" uniqueCount="194">
  <si>
    <t>Perfect Competition Farm — Model Inputs</t>
  </si>
  <si>
    <t>Season &amp; Farm</t>
  </si>
  <si>
    <t>Season length (weeks)</t>
  </si>
  <si>
    <t>Total beds available (16 beds x 4 plots)</t>
  </si>
  <si>
    <t>Beds per plot</t>
  </si>
  <si>
    <t>Number of plots</t>
  </si>
  <si>
    <t>Fixed costs ($/season)</t>
  </si>
  <si>
    <t>Farmer Labor</t>
  </si>
  <si>
    <t>Farmer salary ($/season)</t>
  </si>
  <si>
    <t>Farmer total season hours (implied)</t>
  </si>
  <si>
    <t>Farmer share of time in field</t>
  </si>
  <si>
    <t>Farmer field hours (season)</t>
  </si>
  <si>
    <t>Farmer implied hourly rate ($/hr)</t>
  </si>
  <si>
    <t>Temporary Workers</t>
  </si>
  <si>
    <t>Cost per temp worker ($/season)</t>
  </si>
  <si>
    <t>Hours per temp worker (season)</t>
  </si>
  <si>
    <t>Temp worker implied hourly rate ($/hr)</t>
  </si>
  <si>
    <t>Max temp workers allowed</t>
  </si>
  <si>
    <t>Crop Economics</t>
  </si>
  <si>
    <t>Crop</t>
  </si>
  <si>
    <t>Max beds</t>
  </si>
  <si>
    <t>Price $/bed</t>
  </si>
  <si>
    <t>Labor hrs/wk/bed</t>
  </si>
  <si>
    <t>Fertilizer $/bed</t>
  </si>
  <si>
    <t>Diminishing returns %/bed</t>
  </si>
  <si>
    <t>Tomatoes</t>
  </si>
  <si>
    <t>Carrots</t>
  </si>
  <si>
    <t>Mesclun</t>
  </si>
  <si>
    <t>All figures above are given in the case data (blue = hardcoded input). Farmer field hours and hourly rates are derived by formula from the salary/hours/share inputs.</t>
  </si>
  <si>
    <t>Solver Model — Decision Variables &amp; Settings</t>
  </si>
  <si>
    <t>Decision Cells (Solver's Changing Variable Cells)</t>
  </si>
  <si>
    <t>Beds — Tomatoes</t>
  </si>
  <si>
    <t>Beds — Carrots</t>
  </si>
  <si>
    <t>Beds — Mesclun</t>
  </si>
  <si>
    <t>Total beds used</t>
  </si>
  <si>
    <t>Temp workers required (raw, linked from P&amp;L)</t>
  </si>
  <si>
    <t>Constraint Check</t>
  </si>
  <si>
    <t>Tomatoes beds &lt;= max (20)</t>
  </si>
  <si>
    <t>Carrots beds &lt;= max (20)</t>
  </si>
  <si>
    <t>Mesclun beds &lt;= max (30)</t>
  </si>
  <si>
    <t>Total beds &lt;= cap (64)</t>
  </si>
  <si>
    <t>Temp workers &lt;= max (4)</t>
  </si>
  <si>
    <t>Beds are non-negative integers — enforced in Solver via an "int" constraint on B4:B6 (see setup below).</t>
  </si>
  <si>
    <t>Objective</t>
  </si>
  <si>
    <t>Profit (maximize) — linked from P&amp;L Convention A</t>
  </si>
  <si>
    <t>Solver Setup (Data &gt; Analysis &gt; Solver)</t>
  </si>
  <si>
    <t>Set Objective:  'Solver Model'!$B$19  (Profit, Convention A)   -&gt;   To: Max</t>
  </si>
  <si>
    <t>By Changing Variable Cells:  'Solver Model'!$B$4:$B$6  (Beds - Tomatoes, Carrots, Mesclun)</t>
  </si>
  <si>
    <t>Subject to the Constraints:</t>
  </si>
  <si>
    <t xml:space="preserve">    $B$4 &lt;= Inputs!$B$25     (Tomatoes &lt;= 20 beds)</t>
  </si>
  <si>
    <t xml:space="preserve">    $B$5 &lt;= Inputs!$B$26     (Carrots &lt;= 20 beds)</t>
  </si>
  <si>
    <t xml:space="preserve">    $B$6 &lt;= Inputs!$B$27     (Mesclun &lt;= 30 beds)</t>
  </si>
  <si>
    <t xml:space="preserve">    $B$7 &lt;= Inputs!$B$5      (Total beds &lt;= 64)</t>
  </si>
  <si>
    <t xml:space="preserve">    $B$8 &lt;= Inputs!$B$21     (Temp workers &lt;= 4)</t>
  </si>
  <si>
    <t xml:space="preserve">    $B$4:$B$6 = integer</t>
  </si>
  <si>
    <t xml:space="preserve">    $B$4:$B$6 &gt;= 0</t>
  </si>
  <si>
    <t>Solving Method:  GRG Nonlinear</t>
  </si>
  <si>
    <t>Options:  check "Make Unconstrained Variables Non-Negative"; the (1+dim%)^q term makes the</t>
  </si>
  <si>
    <t>objective non-convex, so raise Max Time/Iterations if Solver stalls, and expect local optima.</t>
  </si>
  <si>
    <t>Run Log — Path-Dependence Check</t>
  </si>
  <si>
    <t>Run</t>
  </si>
  <si>
    <t>Start T</t>
  </si>
  <si>
    <t>Start C</t>
  </si>
  <si>
    <t>Start M</t>
  </si>
  <si>
    <t>Final T</t>
  </si>
  <si>
    <t>Final C</t>
  </si>
  <si>
    <t>Final M</t>
  </si>
  <si>
    <t>Final Profit</t>
  </si>
  <si>
    <t>Notes</t>
  </si>
  <si>
    <t>Run 1</t>
  </si>
  <si>
    <t>Run 2</t>
  </si>
  <si>
    <t>Path-dependence conclusion</t>
  </si>
  <si>
    <t>Independent reference (not a Solver output)</t>
  </si>
  <si>
    <t>A brute-force search of all feasible integer bed combinations (computed outside Excel, for sanity-checking only) finds a global optimum near Tomatoes=10, Carrots=19, Mesclun=28 (57 beds, 3 temp workers, Profit approx. $16,586). If neither Solver run lands in that range, re-seed Solver from a third start (e.g. these values).</t>
  </si>
  <si>
    <t>Engine — Labor Hours Formula (the one formula that drives the model)</t>
  </si>
  <si>
    <t>Labor hours for q beds = q x hrs-per-week-per-bed x 36 weeks x (1 + diminishing%)^q</t>
  </si>
  <si>
    <t>Beds used (q)</t>
  </si>
  <si>
    <t>Season weeks</t>
  </si>
  <si>
    <t>Diminishing %/bed</t>
  </si>
  <si>
    <t>Labor Hours Required</t>
  </si>
  <si>
    <t>Total</t>
  </si>
  <si>
    <t>Marginal Cost Explorer — audit check 2 (intermediate marginal cost, matches Farm Profit Lab convention)</t>
  </si>
  <si>
    <t>Crop tested</t>
  </si>
  <si>
    <t>Bed count tested (q) — must be &gt;= 1</t>
  </si>
  <si>
    <t>Labor hours at q</t>
  </si>
  <si>
    <t>Labor hours at q-1</t>
  </si>
  <si>
    <t>Marginal labor hours (delta for the q-th bed)</t>
  </si>
  <si>
    <t>Free hours remaining before this bed (farmer, isolated view)</t>
  </si>
  <si>
    <t>Free hours used by this bed</t>
  </si>
  <si>
    <t>Paid (temp-rate) hours for this bed</t>
  </si>
  <si>
    <t>Marginal labor $ (paid hours x temp rate)</t>
  </si>
  <si>
    <t>Marginal fertilizer $ (constant per bed)</t>
  </si>
  <si>
    <t>Marginal cost of the q-th bed (labor + fertilizer)</t>
  </si>
  <si>
    <t>Marginal revenue (price per bed)</t>
  </si>
  <si>
    <t>Marginal profit of the q-th bed</t>
  </si>
  <si>
    <t>Farm Profit Lab reference value (paste here)</t>
  </si>
  <si>
    <t>Match?</t>
  </si>
  <si>
    <t>Marginal Analysis — Where Marginal Cost Crosses Price</t>
  </si>
  <si>
    <t>Convention: each crop is evaluated on its own labor-hours curve as if it alone drew on the farmer's 720 free field hours before any paid labor begins. Hours beyond that free allowance are costed continuously at the temp-worker rate ($25,000 / 1,440 hrs = $17.36/hr), bed by bed -- the smooth convention this case's marginal-cost checks (and the Farm Profit Lab cross-check) use. This differs from the Solver / P&amp;L sheets, which cost temp labor in true discrete $25,000-per-worker hiring blocks for the actual cash plan -- see the note at the bottom of this sheet for why that difference matters.</t>
  </si>
  <si>
    <t>Tomatoes (price = Inputs!C25)</t>
  </si>
  <si>
    <t>q</t>
  </si>
  <si>
    <t>Cum. hours thru q-1</t>
  </si>
  <si>
    <t>Cum. hours thru q</t>
  </si>
  <si>
    <t>Marginal hours</t>
  </si>
  <si>
    <t>Free hours (farmer)</t>
  </si>
  <si>
    <t>Paid hours (temp)</t>
  </si>
  <si>
    <t>Marginal labor $</t>
  </si>
  <si>
    <t>Marginal fertilizer $</t>
  </si>
  <si>
    <t>Marginal cost</t>
  </si>
  <si>
    <t>Price</t>
  </si>
  <si>
    <t>Marginal profit</t>
  </si>
  <si>
    <t>Profitable?</t>
  </si>
  <si>
    <t>Beds 1-4 draw only on the farmer's already-paid-for hours, so marginal cost sits near the $880 fertilizer floor. The farmer's 720 hours run out partway through bed 5, so bed 6 is the first bed priced entirely at the $17.36/hr temp rate -- marginal cost jumps sharply there rather than climbing smoothly from bed 1. Marginal cost stays below the $8,800 price through bed 10 ($8,249) and crosses above it at bed 11 ($9,391) -- tomatoes are self-limiting at 10 beds on economics alone, regardless of the bed cap.</t>
  </si>
  <si>
    <t>Carrots (price = Inputs!C26) -- approaching the 20-bed cap</t>
  </si>
  <si>
    <t>Marginal cost is still well below the $2,094 price at bed 20, the last bed the 20-bed cap allows. Bed 21 (blocked by the cap) would still have earned about $353 -- the cap, not the economics, stops production here. That $353 is the shadow value of one more bed of ground.</t>
  </si>
  <si>
    <t>Mesclun (price = Inputs!C27) -- approaching the 30-bed cap</t>
  </si>
  <si>
    <t>Same story: marginal cost at bed 30 (the cap) is still comfortably below the $2,700 price. Bed 31, if the cap allowed it, would still have earned about $246 -- again a fence, not the economics, ends production.</t>
  </si>
  <si>
    <t>Binding Constraints Check — plan grown to its economic/physical limits (10 / 20 / 30 beds)</t>
  </si>
  <si>
    <t>Tomatoes beds (economics-limited)</t>
  </si>
  <si>
    <t>Carrots beds (cap-limited)</t>
  </si>
  <si>
    <t>Mesclun beds (cap-limited)</t>
  </si>
  <si>
    <t>Total beds cap</t>
  </si>
  <si>
    <t>Slack on 64-bed cap</t>
  </si>
  <si>
    <t>Total labor hours at this plan</t>
  </si>
  <si>
    <t>Temp workers required (raw)</t>
  </si>
  <si>
    <t>Slack on 4-worker cap</t>
  </si>
  <si>
    <t>Both the 64-bed total cap and the 4-worker cap have slack at this plan -- neither one is actually stopping production; relaxing either would be worth $0. This plan illustrates the continuous-labor marginal view. It is NOT the cash-optimal integer plan -- see the memo for why the real recommendation (10 / 19 / 28 beds) differs, and for the one assumption (continuous vs. discrete-block labor hiring) the difference turns on.</t>
  </si>
  <si>
    <t>Why grow crops that don't cover their share of fixed costs?</t>
  </si>
  <si>
    <t>Split the $70,000 in fixed costs (farmer salary + overhead) evenly across 57 beds and every bed looks like it owes about $1,228 toward overhead before it "covers its share." Carrots and mesclun clear that yardstick fine, but it is the wrong yardstick: the $70,000 is spent whether or not a single carrot bed gets planted, so it is irrelevant to the planting decision. The only question that matters bed by bed is whether price beats marginal cost -- and every carrot and mesclun bed up to its cap does, adding pure contribution on top of a fixed cost that was never avoidable in the first place.</t>
  </si>
  <si>
    <t>P&amp;L — Convention A (Cash / Marginal Costing — drives Solver objective)</t>
  </si>
  <si>
    <t>Beds</t>
  </si>
  <si>
    <t>Revenue ($)</t>
  </si>
  <si>
    <t>Fertilizer ($)</t>
  </si>
  <si>
    <t>Labor</t>
  </si>
  <si>
    <t>Total labor hours required</t>
  </si>
  <si>
    <t>Farmer field hours available</t>
  </si>
  <si>
    <t>Hours covered by farmer (free, already paid)</t>
  </si>
  <si>
    <t>Hours requiring temp workers</t>
  </si>
  <si>
    <t>Workers required (raw, uncapped)</t>
  </si>
  <si>
    <t>Feasible?</t>
  </si>
  <si>
    <t>Workers hired (capped at max 4)</t>
  </si>
  <si>
    <t>Temp labor cost ($)</t>
  </si>
  <si>
    <t>Fixed Costs</t>
  </si>
  <si>
    <t>Farmer salary ($, paid regardless of hours used)</t>
  </si>
  <si>
    <t>Other fixed costs ($)</t>
  </si>
  <si>
    <t>Profit — Convention A (Solver objective)</t>
  </si>
  <si>
    <t>P&amp;L — Convention B (Blended-Rate Costing — reporting only, NOT the Solver objective)</t>
  </si>
  <si>
    <t>Total labor $ spent (same cash as Convention A)</t>
  </si>
  <si>
    <t>Total labor hours purchased (farmer field hrs + hired temp hrs)</t>
  </si>
  <si>
    <t>Blended labor rate ($/hr)</t>
  </si>
  <si>
    <t>Labor cost allocated to crops at blended rate</t>
  </si>
  <si>
    <t>Profit — Convention B</t>
  </si>
  <si>
    <t>Convention A treats the farmer's 720 field hours as already paid for (sunk in her $50,000 salary) and adds cost only when temp workers must be hired, in stepped $25,000 / 1,440-hour blocks — this is the true incremental cash cost and is what Solver maximizes. Convention B spreads all labor dollars (farmer + temp) evenly across all labor hours purchased into one blended $/hr rate; it is useful for per-bed unit-economics reporting, but it disguises the stepped, lumpy nature of the true cost — do not use it as the Solver objective.</t>
  </si>
  <si>
    <t>Audit — Five Checks</t>
  </si>
  <si>
    <t>Check 1 — q = 1 hand calculation (Tomatoes)</t>
  </si>
  <si>
    <t>Formula-based value (engine formula with q=1, linked to Inputs)</t>
  </si>
  <si>
    <t>Hand-arithmetic value: 1 x 2.50 x 36 x 1.10 (literal, from the case prompt)</t>
  </si>
  <si>
    <t>B5 intentionally hardcodes the case's stated figures as an independent hand check; B4 is the live formula that must reproduce it.</t>
  </si>
  <si>
    <t>Check 2 — Intermediate marginal cost cross-check (Tomatoes, q=10) vs Farm Profit Lab</t>
  </si>
  <si>
    <t>Marginal cost of bed q (model)</t>
  </si>
  <si>
    <t>Marginal profit of bed q (model)</t>
  </si>
  <si>
    <t>Farm Profit Lab reference value (enter on Engine!B28)</t>
  </si>
  <si>
    <t>Check 3 — Solver path-dependence (start 0/0/0 vs start 20/0/0)</t>
  </si>
  <si>
    <t>Run 1 final beds (T / C / M)</t>
  </si>
  <si>
    <t>Run 1 final profit</t>
  </si>
  <si>
    <t>Run 2 final beds (T / C / M)</t>
  </si>
  <si>
    <t>Run 2 final profit</t>
  </si>
  <si>
    <t>Conclusion</t>
  </si>
  <si>
    <t>Check 4 — Check figures (constraint &amp; feasibility reconciliation)</t>
  </si>
  <si>
    <t>Constraint</t>
  </si>
  <si>
    <t>Used</t>
  </si>
  <si>
    <t>Cap</t>
  </si>
  <si>
    <t>Status</t>
  </si>
  <si>
    <t>Tomatoes beds</t>
  </si>
  <si>
    <t>Carrots beds</t>
  </si>
  <si>
    <t>Mesclun beds</t>
  </si>
  <si>
    <t>Total beds</t>
  </si>
  <si>
    <t>Temp workers (raw required)</t>
  </si>
  <si>
    <t>Total labor hours</t>
  </si>
  <si>
    <t>Check 5 — Formulas, not pasted values</t>
  </si>
  <si>
    <t>All revenue, fertilizer, labor-hour, labor-cost, and profit figures on the P&amp;L, Engine, and Solver Model sheets are live formulas referencing the Inputs sheet and the three decision cells ('Solver Model'!B4:B6) — confirm by selecting any output cell and reading the formula bar. The only intentionally hardcoded numbers in the workbook are: (a) the literal 'by-hand' check in Audit!B5 (used only to verify the engine formula, per Check 1), and (b) the two Solver run starting points (0/0/0 and 20/0/0) entered as Solver's initial seed values in 'Solver Model'!B38:D39 before optimization.</t>
  </si>
  <si>
    <t>Spot list</t>
  </si>
  <si>
    <t>Cell</t>
  </si>
  <si>
    <t>Sheet</t>
  </si>
  <si>
    <t>Contains</t>
  </si>
  <si>
    <t>B22 (Profit_ConventionA)</t>
  </si>
  <si>
    <t>P&amp;L</t>
  </si>
  <si>
    <t>Live formula</t>
  </si>
  <si>
    <t>B19 (Objective_Profit, linked)</t>
  </si>
  <si>
    <t>Solver Model</t>
  </si>
  <si>
    <t>Live formula (link)</t>
  </si>
  <si>
    <t>F9 (Total Labor Hours)</t>
  </si>
  <si>
    <t>Engine</t>
  </si>
  <si>
    <t>B13 (Workers required, raw)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</si>
</sst>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\-"/>
    <numFmt numFmtId="165" formatCode="\$#,##0.00;\(\$#,##0.00\);\-"/>
    <numFmt numFmtId="166" formatCode="#,##0.000"/>
  </numFmts>
  <fonts count="2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1F3864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i/>
      <sz val="9"/>
      <color rgb="FF595959"/>
      <name val="Arial"/>
      <family val="2"/>
    </font>
    <font>
      <sz val="11"/>
      <color rgb="FF0080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1"/>
      <color rgb="FF1F3864"/>
      <name val="Arial"/>
      <family val="2"/>
    </font>
    <font>
      <b/>
      <sz val="14"/>
      <name val="Arial"/>
      <family val="2"/>
    </font>
    <font>
      <i/>
      <sz val="9"/>
      <color rgb="FF595959"/>
      <name val="Arial"/>
      <family val="2"/>
    </font>
    <font>
      <b/>
      <sz val="12"/>
      <color rgb="FF1F3864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008000"/>
      <name val="Arial"/>
      <family val="2"/>
    </font>
    <font>
      <b/>
      <sz val="11"/>
      <color rgb="FF1F3864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1F3864"/>
      </patternFill>
    </fill>
    <fill>
      <patternFill patternType="solid">
        <fgColor rgb="FFFCE4E4"/>
      </patternFill>
    </fill>
    <fill>
      <patternFill patternType="solid">
        <fgColor rgb="FFD9E1F2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/>
    <xf numFmtId="0" fontId="0" fillId="2" borderId="0" xfId="0" applyFill="1"/>
    <xf numFmtId="0" fontId="3" fillId="0" borderId="0" xfId="0" applyFont="1"/>
    <xf numFmtId="3" fontId="4" fillId="0" borderId="0" xfId="0" applyNumberFormat="1" applyFont="1"/>
    <xf numFmtId="164" fontId="4" fillId="0" borderId="0" xfId="0" applyNumberFormat="1" applyFont="1"/>
    <xf numFmtId="10" fontId="4" fillId="0" borderId="0" xfId="0" applyNumberFormat="1" applyFont="1"/>
    <xf numFmtId="4" fontId="5" fillId="0" borderId="0" xfId="0" applyNumberFormat="1" applyFont="1"/>
    <xf numFmtId="165" fontId="5" fillId="0" borderId="0" xfId="0" applyNumberFormat="1" applyFont="1"/>
    <xf numFmtId="0" fontId="6" fillId="3" borderId="0" xfId="0" applyFont="1" applyFill="1" applyAlignment="1">
      <alignment horizontal="center" vertical="center" wrapText="1"/>
    </xf>
    <xf numFmtId="0" fontId="5" fillId="0" borderId="0" xfId="0" applyFont="1"/>
    <xf numFmtId="166" fontId="4" fillId="0" borderId="0" xfId="0" applyNumberFormat="1" applyFont="1"/>
    <xf numFmtId="0" fontId="1" fillId="0" borderId="0" xfId="0" applyFont="1"/>
    <xf numFmtId="3" fontId="4" fillId="4" borderId="0" xfId="0" applyNumberFormat="1" applyFont="1" applyFill="1"/>
    <xf numFmtId="3" fontId="5" fillId="0" borderId="0" xfId="0" applyNumberFormat="1" applyFont="1"/>
    <xf numFmtId="3" fontId="8" fillId="0" borderId="0" xfId="0" applyNumberFormat="1" applyFont="1"/>
    <xf numFmtId="164" fontId="8" fillId="0" borderId="0" xfId="0" applyNumberFormat="1" applyFont="1"/>
    <xf numFmtId="0" fontId="6" fillId="3" borderId="0" xfId="0" applyFont="1" applyFill="1" applyAlignment="1">
      <alignment horizontal="center" wrapText="1"/>
    </xf>
    <xf numFmtId="164" fontId="4" fillId="4" borderId="0" xfId="0" applyNumberFormat="1" applyFont="1" applyFill="1"/>
    <xf numFmtId="0" fontId="4" fillId="4" borderId="0" xfId="0" applyFont="1" applyFill="1"/>
    <xf numFmtId="0" fontId="10" fillId="0" borderId="0" xfId="0" applyFont="1"/>
    <xf numFmtId="166" fontId="8" fillId="0" borderId="0" xfId="0" applyNumberFormat="1" applyFont="1"/>
    <xf numFmtId="10" fontId="8" fillId="0" borderId="0" xfId="0" applyNumberFormat="1" applyFont="1"/>
    <xf numFmtId="4" fontId="10" fillId="0" borderId="0" xfId="0" applyNumberFormat="1" applyFont="1"/>
    <xf numFmtId="0" fontId="4" fillId="0" borderId="0" xfId="0" applyFont="1"/>
    <xf numFmtId="164" fontId="5" fillId="0" borderId="0" xfId="0" applyNumberFormat="1" applyFont="1"/>
    <xf numFmtId="0" fontId="6" fillId="3" borderId="0" xfId="0" applyFont="1" applyFill="1" applyAlignment="1">
      <alignment horizontal="center"/>
    </xf>
    <xf numFmtId="3" fontId="10" fillId="0" borderId="0" xfId="0" applyNumberFormat="1" applyFont="1"/>
    <xf numFmtId="164" fontId="10" fillId="0" borderId="0" xfId="0" applyNumberFormat="1" applyFont="1"/>
    <xf numFmtId="4" fontId="8" fillId="0" borderId="0" xfId="0" applyNumberFormat="1" applyFont="1"/>
    <xf numFmtId="0" fontId="6" fillId="3" borderId="0" xfId="0" applyFont="1" applyFill="1"/>
    <xf numFmtId="0" fontId="14" fillId="0" borderId="0" xfId="0" applyFont="1"/>
    <xf numFmtId="0" fontId="15" fillId="5" borderId="0" xfId="0" applyFont="1" applyFill="1" applyAlignment="1">
      <alignment horizontal="center" vertical="center" wrapText="1"/>
    </xf>
    <xf numFmtId="0" fontId="16" fillId="0" borderId="0" xfId="0" applyFont="1"/>
    <xf numFmtId="4" fontId="16" fillId="0" borderId="0" xfId="0" applyNumberFormat="1" applyFont="1"/>
    <xf numFmtId="164" fontId="16" fillId="0" borderId="0" xfId="0" applyNumberFormat="1" applyFont="1"/>
    <xf numFmtId="164" fontId="17" fillId="0" borderId="0" xfId="0" applyNumberFormat="1" applyFont="1"/>
    <xf numFmtId="0" fontId="16" fillId="6" borderId="0" xfId="0" applyFont="1" applyFill="1"/>
    <xf numFmtId="4" fontId="16" fillId="6" borderId="0" xfId="0" applyNumberFormat="1" applyFont="1" applyFill="1"/>
    <xf numFmtId="164" fontId="16" fillId="6" borderId="0" xfId="0" applyNumberFormat="1" applyFont="1" applyFill="1"/>
    <xf numFmtId="164" fontId="17" fillId="6" borderId="0" xfId="0" applyNumberFormat="1" applyFont="1" applyFill="1"/>
    <xf numFmtId="0" fontId="18" fillId="7" borderId="0" xfId="0" applyFont="1" applyFill="1"/>
    <xf numFmtId="0" fontId="0" fillId="7" borderId="0" xfId="0" applyFill="1"/>
    <xf numFmtId="0" fontId="19" fillId="0" borderId="0" xfId="0" applyFont="1"/>
    <xf numFmtId="3" fontId="20" fillId="8" borderId="0" xfId="0" applyNumberFormat="1" applyFont="1" applyFill="1"/>
    <xf numFmtId="3" fontId="16" fillId="0" borderId="0" xfId="0" applyNumberFormat="1" applyFont="1"/>
    <xf numFmtId="3" fontId="17" fillId="0" borderId="0" xfId="0" applyNumberFormat="1" applyFont="1"/>
    <xf numFmtId="0" fontId="19" fillId="2" borderId="0" xfId="0" applyFont="1" applyFill="1"/>
    <xf numFmtId="164" fontId="20" fillId="8" borderId="0" xfId="0" applyNumberFormat="1" applyFont="1" applyFill="1"/>
    <xf numFmtId="0" fontId="17" fillId="0" borderId="0" xfId="0" applyFont="1"/>
    <xf numFmtId="0" fontId="7" fillId="0" borderId="0" xfId="0" applyFont="1" applyAlignment="1">
      <alignment vertical="top" wrapText="1"/>
    </xf>
    <xf numFmtId="0" fontId="0" fillId="0" borderId="0" xfId="0"/>
    <xf numFmtId="0" fontId="9" fillId="0" borderId="0" xfId="0" applyFont="1"/>
    <xf numFmtId="0" fontId="5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2" fillId="0" borderId="0" xfId="0" applyFont="1"/>
    <xf numFmtId="0" fontId="1" fillId="0" borderId="0" xfId="0" applyFont="1"/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activeCell="B34" sqref="B34"/>
    </sheetView>
  </sheetViews>
  <sheetFormatPr baseColWidth="10" defaultColWidth="8.83203125" defaultRowHeight="15" x14ac:dyDescent="0.2"/>
  <cols>
    <col min="1" max="1" width="42" customWidth="1"/>
    <col min="2" max="6" width="16" customWidth="1"/>
  </cols>
  <sheetData>
    <row r="1" spans="1:6" ht="18" customHeight="1" x14ac:dyDescent="0.2">
      <c r="A1" s="1" t="s">
        <v>0</v>
      </c>
    </row>
    <row r="3" spans="1:6" x14ac:dyDescent="0.2">
      <c r="A3" s="2" t="s">
        <v>1</v>
      </c>
      <c r="B3" s="3"/>
      <c r="C3" s="3"/>
      <c r="D3" s="3"/>
      <c r="E3" s="3"/>
      <c r="F3" s="3"/>
    </row>
    <row r="4" spans="1:6" x14ac:dyDescent="0.2">
      <c r="A4" s="4" t="s">
        <v>2</v>
      </c>
      <c r="B4" s="5">
        <v>36</v>
      </c>
    </row>
    <row r="5" spans="1:6" x14ac:dyDescent="0.2">
      <c r="A5" s="4" t="s">
        <v>3</v>
      </c>
      <c r="B5" s="5">
        <v>64</v>
      </c>
    </row>
    <row r="6" spans="1:6" x14ac:dyDescent="0.2">
      <c r="A6" s="4" t="s">
        <v>4</v>
      </c>
      <c r="B6" s="5">
        <v>16</v>
      </c>
    </row>
    <row r="7" spans="1:6" x14ac:dyDescent="0.2">
      <c r="A7" s="4" t="s">
        <v>5</v>
      </c>
      <c r="B7" s="5">
        <v>4</v>
      </c>
    </row>
    <row r="8" spans="1:6" x14ac:dyDescent="0.2">
      <c r="A8" s="4" t="s">
        <v>6</v>
      </c>
      <c r="B8" s="6">
        <v>20000</v>
      </c>
    </row>
    <row r="10" spans="1:6" x14ac:dyDescent="0.2">
      <c r="A10" s="2" t="s">
        <v>7</v>
      </c>
      <c r="B10" s="3"/>
      <c r="C10" s="3"/>
      <c r="D10" s="3"/>
      <c r="E10" s="3"/>
      <c r="F10" s="3"/>
    </row>
    <row r="11" spans="1:6" x14ac:dyDescent="0.2">
      <c r="A11" s="4" t="s">
        <v>8</v>
      </c>
      <c r="B11" s="6">
        <v>50000</v>
      </c>
    </row>
    <row r="12" spans="1:6" x14ac:dyDescent="0.2">
      <c r="A12" s="4" t="s">
        <v>9</v>
      </c>
      <c r="B12" s="5">
        <v>1440</v>
      </c>
    </row>
    <row r="13" spans="1:6" x14ac:dyDescent="0.2">
      <c r="A13" s="4" t="s">
        <v>10</v>
      </c>
      <c r="B13" s="7">
        <v>0.5</v>
      </c>
    </row>
    <row r="14" spans="1:6" x14ac:dyDescent="0.2">
      <c r="A14" s="4" t="s">
        <v>11</v>
      </c>
      <c r="B14" s="8">
        <f>B12*B13</f>
        <v>720</v>
      </c>
    </row>
    <row r="15" spans="1:6" x14ac:dyDescent="0.2">
      <c r="A15" s="4" t="s">
        <v>12</v>
      </c>
      <c r="B15" s="9">
        <f>B11/B12</f>
        <v>34.722222222222221</v>
      </c>
    </row>
    <row r="17" spans="1:6" x14ac:dyDescent="0.2">
      <c r="A17" s="2" t="s">
        <v>13</v>
      </c>
      <c r="B17" s="3"/>
      <c r="C17" s="3"/>
      <c r="D17" s="3"/>
      <c r="E17" s="3"/>
      <c r="F17" s="3"/>
    </row>
    <row r="18" spans="1:6" x14ac:dyDescent="0.2">
      <c r="A18" s="4" t="s">
        <v>14</v>
      </c>
      <c r="B18" s="6">
        <v>25000</v>
      </c>
    </row>
    <row r="19" spans="1:6" x14ac:dyDescent="0.2">
      <c r="A19" s="4" t="s">
        <v>15</v>
      </c>
      <c r="B19" s="5">
        <v>1440</v>
      </c>
    </row>
    <row r="20" spans="1:6" x14ac:dyDescent="0.2">
      <c r="A20" s="4" t="s">
        <v>16</v>
      </c>
      <c r="B20" s="9">
        <f>B18/B19</f>
        <v>17.361111111111111</v>
      </c>
    </row>
    <row r="21" spans="1:6" x14ac:dyDescent="0.2">
      <c r="A21" s="4" t="s">
        <v>17</v>
      </c>
      <c r="B21" s="5">
        <v>4</v>
      </c>
    </row>
    <row r="23" spans="1:6" x14ac:dyDescent="0.2">
      <c r="A23" s="2" t="s">
        <v>18</v>
      </c>
      <c r="B23" s="3"/>
      <c r="C23" s="3"/>
      <c r="D23" s="3"/>
      <c r="E23" s="3"/>
      <c r="F23" s="3"/>
    </row>
    <row r="24" spans="1:6" ht="30" customHeight="1" x14ac:dyDescent="0.2">
      <c r="A24" s="10" t="s">
        <v>19</v>
      </c>
      <c r="B24" s="10" t="s">
        <v>20</v>
      </c>
      <c r="C24" s="10" t="s">
        <v>21</v>
      </c>
      <c r="D24" s="10" t="s">
        <v>22</v>
      </c>
      <c r="E24" s="10" t="s">
        <v>23</v>
      </c>
      <c r="F24" s="10" t="s">
        <v>24</v>
      </c>
    </row>
    <row r="25" spans="1:6" x14ac:dyDescent="0.2">
      <c r="A25" s="11" t="s">
        <v>25</v>
      </c>
      <c r="B25" s="5">
        <v>20</v>
      </c>
      <c r="C25" s="6">
        <v>8800</v>
      </c>
      <c r="D25" s="12">
        <v>2.5</v>
      </c>
      <c r="E25" s="6">
        <v>880</v>
      </c>
      <c r="F25" s="7">
        <v>0.1</v>
      </c>
    </row>
    <row r="26" spans="1:6" x14ac:dyDescent="0.2">
      <c r="A26" s="11" t="s">
        <v>26</v>
      </c>
      <c r="B26" s="5">
        <v>20</v>
      </c>
      <c r="C26" s="6">
        <v>2094</v>
      </c>
      <c r="D26" s="12">
        <v>0.83299999999999996</v>
      </c>
      <c r="E26" s="6">
        <v>440</v>
      </c>
      <c r="F26" s="7">
        <v>2.5000000000000001E-2</v>
      </c>
    </row>
    <row r="27" spans="1:6" x14ac:dyDescent="0.2">
      <c r="A27" s="11" t="s">
        <v>27</v>
      </c>
      <c r="B27" s="5">
        <v>30</v>
      </c>
      <c r="C27" s="6">
        <v>2700</v>
      </c>
      <c r="D27" s="12">
        <v>1.25</v>
      </c>
      <c r="E27" s="6">
        <v>880</v>
      </c>
      <c r="F27" s="7">
        <v>1.2500000000000001E-2</v>
      </c>
    </row>
    <row r="29" spans="1:6" x14ac:dyDescent="0.2">
      <c r="A29" s="51" t="s">
        <v>28</v>
      </c>
      <c r="B29" s="52"/>
      <c r="C29" s="52"/>
      <c r="D29" s="52"/>
      <c r="E29" s="52"/>
      <c r="F29" s="52"/>
    </row>
    <row r="30" spans="1:6" x14ac:dyDescent="0.2">
      <c r="A30" s="52"/>
      <c r="B30" s="52"/>
      <c r="C30" s="52"/>
      <c r="D30" s="52"/>
      <c r="E30" s="52"/>
      <c r="F30" s="52"/>
    </row>
  </sheetData>
  <mergeCells count="1">
    <mergeCell ref="A29:F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"/>
  <sheetViews>
    <sheetView tabSelected="1" topLeftCell="A21" workbookViewId="0">
      <selection activeCell="A44" sqref="A44:I44"/>
    </sheetView>
  </sheetViews>
  <sheetFormatPr baseColWidth="10" defaultColWidth="8.83203125" defaultRowHeight="15" x14ac:dyDescent="0.2"/>
  <cols>
    <col min="1" max="1" width="46" customWidth="1"/>
    <col min="2" max="8" width="13" customWidth="1"/>
    <col min="9" max="9" width="22" customWidth="1"/>
  </cols>
  <sheetData>
    <row r="1" spans="1:2" ht="18" customHeight="1" x14ac:dyDescent="0.2">
      <c r="A1" s="13" t="s">
        <v>29</v>
      </c>
    </row>
    <row r="3" spans="1:2" x14ac:dyDescent="0.2">
      <c r="A3" s="2" t="s">
        <v>30</v>
      </c>
      <c r="B3" s="3"/>
    </row>
    <row r="4" spans="1:2" x14ac:dyDescent="0.2">
      <c r="A4" s="4" t="s">
        <v>31</v>
      </c>
      <c r="B4" s="14">
        <v>10</v>
      </c>
    </row>
    <row r="5" spans="1:2" x14ac:dyDescent="0.2">
      <c r="A5" s="4" t="s">
        <v>32</v>
      </c>
      <c r="B5" s="14">
        <v>19</v>
      </c>
    </row>
    <row r="6" spans="1:2" x14ac:dyDescent="0.2">
      <c r="A6" s="4" t="s">
        <v>33</v>
      </c>
      <c r="B6" s="14">
        <v>28</v>
      </c>
    </row>
    <row r="7" spans="1:2" x14ac:dyDescent="0.2">
      <c r="A7" s="4" t="s">
        <v>34</v>
      </c>
      <c r="B7" s="15">
        <f>B4+B5+B6</f>
        <v>57</v>
      </c>
    </row>
    <row r="8" spans="1:2" x14ac:dyDescent="0.2">
      <c r="A8" s="4" t="s">
        <v>35</v>
      </c>
      <c r="B8" s="16">
        <f>'P&amp;L'!B13</f>
        <v>3</v>
      </c>
    </row>
    <row r="10" spans="1:2" x14ac:dyDescent="0.2">
      <c r="A10" s="2" t="s">
        <v>36</v>
      </c>
      <c r="B10" s="3"/>
    </row>
    <row r="11" spans="1:2" x14ac:dyDescent="0.2">
      <c r="A11" s="4" t="s">
        <v>37</v>
      </c>
      <c r="B11" s="11" t="str">
        <f>IF(B4&lt;=Inputs!B25,"OK","EXCEEDS")</f>
        <v>OK</v>
      </c>
    </row>
    <row r="12" spans="1:2" x14ac:dyDescent="0.2">
      <c r="A12" s="4" t="s">
        <v>38</v>
      </c>
      <c r="B12" s="11" t="str">
        <f>IF(B5&lt;=Inputs!B26,"OK","EXCEEDS")</f>
        <v>OK</v>
      </c>
    </row>
    <row r="13" spans="1:2" x14ac:dyDescent="0.2">
      <c r="A13" s="4" t="s">
        <v>39</v>
      </c>
      <c r="B13" s="11" t="str">
        <f>IF(B6&lt;=Inputs!B27,"OK","EXCEEDS")</f>
        <v>OK</v>
      </c>
    </row>
    <row r="14" spans="1:2" x14ac:dyDescent="0.2">
      <c r="A14" s="4" t="s">
        <v>40</v>
      </c>
      <c r="B14" s="11" t="str">
        <f>IF(B7&lt;=Inputs!B5,"OK","EXCEEDS")</f>
        <v>OK</v>
      </c>
    </row>
    <row r="15" spans="1:2" x14ac:dyDescent="0.2">
      <c r="A15" s="4" t="s">
        <v>41</v>
      </c>
      <c r="B15" s="11" t="str">
        <f>IF(B8&lt;=Inputs!B21,"OK","EXCEEDS")</f>
        <v>OK</v>
      </c>
    </row>
    <row r="16" spans="1:2" x14ac:dyDescent="0.2">
      <c r="A16" s="51" t="s">
        <v>42</v>
      </c>
      <c r="B16" s="52"/>
    </row>
    <row r="18" spans="1:6" x14ac:dyDescent="0.2">
      <c r="A18" s="2" t="s">
        <v>43</v>
      </c>
      <c r="B18" s="3"/>
    </row>
    <row r="19" spans="1:6" x14ac:dyDescent="0.2">
      <c r="A19" s="4" t="s">
        <v>44</v>
      </c>
      <c r="B19" s="17">
        <f>'P&amp;L'!B22</f>
        <v>16586</v>
      </c>
    </row>
    <row r="21" spans="1:6" x14ac:dyDescent="0.2">
      <c r="A21" s="2" t="s">
        <v>45</v>
      </c>
      <c r="B21" s="3"/>
    </row>
    <row r="22" spans="1:6" x14ac:dyDescent="0.2">
      <c r="A22" s="53" t="s">
        <v>46</v>
      </c>
      <c r="B22" s="52"/>
      <c r="C22" s="52"/>
      <c r="D22" s="52"/>
      <c r="E22" s="52"/>
      <c r="F22" s="52"/>
    </row>
    <row r="23" spans="1:6" x14ac:dyDescent="0.2">
      <c r="A23" s="53" t="s">
        <v>47</v>
      </c>
      <c r="B23" s="52"/>
      <c r="C23" s="52"/>
      <c r="D23" s="52"/>
      <c r="E23" s="52"/>
      <c r="F23" s="52"/>
    </row>
    <row r="24" spans="1:6" x14ac:dyDescent="0.2">
      <c r="A24" s="53" t="s">
        <v>48</v>
      </c>
      <c r="B24" s="52"/>
      <c r="C24" s="52"/>
      <c r="D24" s="52"/>
      <c r="E24" s="52"/>
      <c r="F24" s="52"/>
    </row>
    <row r="25" spans="1:6" x14ac:dyDescent="0.2">
      <c r="A25" s="53" t="s">
        <v>49</v>
      </c>
      <c r="B25" s="52"/>
      <c r="C25" s="52"/>
      <c r="D25" s="52"/>
      <c r="E25" s="52"/>
      <c r="F25" s="52"/>
    </row>
    <row r="26" spans="1:6" x14ac:dyDescent="0.2">
      <c r="A26" s="53" t="s">
        <v>50</v>
      </c>
      <c r="B26" s="52"/>
      <c r="C26" s="52"/>
      <c r="D26" s="52"/>
      <c r="E26" s="52"/>
      <c r="F26" s="52"/>
    </row>
    <row r="27" spans="1:6" x14ac:dyDescent="0.2">
      <c r="A27" s="53" t="s">
        <v>51</v>
      </c>
      <c r="B27" s="52"/>
      <c r="C27" s="52"/>
      <c r="D27" s="52"/>
      <c r="E27" s="52"/>
      <c r="F27" s="52"/>
    </row>
    <row r="28" spans="1:6" x14ac:dyDescent="0.2">
      <c r="A28" s="53" t="s">
        <v>52</v>
      </c>
      <c r="B28" s="52"/>
      <c r="C28" s="52"/>
      <c r="D28" s="52"/>
      <c r="E28" s="52"/>
      <c r="F28" s="52"/>
    </row>
    <row r="29" spans="1:6" x14ac:dyDescent="0.2">
      <c r="A29" s="53" t="s">
        <v>53</v>
      </c>
      <c r="B29" s="52"/>
      <c r="C29" s="52"/>
      <c r="D29" s="52"/>
      <c r="E29" s="52"/>
      <c r="F29" s="52"/>
    </row>
    <row r="30" spans="1:6" x14ac:dyDescent="0.2">
      <c r="A30" s="53" t="s">
        <v>54</v>
      </c>
      <c r="B30" s="52"/>
      <c r="C30" s="52"/>
      <c r="D30" s="52"/>
      <c r="E30" s="52"/>
      <c r="F30" s="52"/>
    </row>
    <row r="31" spans="1:6" x14ac:dyDescent="0.2">
      <c r="A31" s="53" t="s">
        <v>55</v>
      </c>
      <c r="B31" s="52"/>
      <c r="C31" s="52"/>
      <c r="D31" s="52"/>
      <c r="E31" s="52"/>
      <c r="F31" s="52"/>
    </row>
    <row r="32" spans="1:6" x14ac:dyDescent="0.2">
      <c r="A32" s="53" t="s">
        <v>56</v>
      </c>
      <c r="B32" s="52"/>
      <c r="C32" s="52"/>
      <c r="D32" s="52"/>
      <c r="E32" s="52"/>
      <c r="F32" s="52"/>
    </row>
    <row r="33" spans="1:9" x14ac:dyDescent="0.2">
      <c r="A33" s="53" t="s">
        <v>57</v>
      </c>
      <c r="B33" s="52"/>
      <c r="C33" s="52"/>
      <c r="D33" s="52"/>
      <c r="E33" s="52"/>
      <c r="F33" s="52"/>
    </row>
    <row r="34" spans="1:9" x14ac:dyDescent="0.2">
      <c r="A34" s="53" t="s">
        <v>58</v>
      </c>
      <c r="B34" s="52"/>
      <c r="C34" s="52"/>
      <c r="D34" s="52"/>
      <c r="E34" s="52"/>
      <c r="F34" s="52"/>
    </row>
    <row r="36" spans="1:9" x14ac:dyDescent="0.2">
      <c r="A36" s="2" t="s">
        <v>59</v>
      </c>
      <c r="B36" s="3"/>
      <c r="C36" s="3"/>
      <c r="D36" s="3"/>
      <c r="E36" s="3"/>
      <c r="F36" s="3"/>
      <c r="G36" s="3"/>
      <c r="H36" s="3"/>
      <c r="I36" s="3"/>
    </row>
    <row r="37" spans="1:9" ht="16" customHeight="1" x14ac:dyDescent="0.2">
      <c r="A37" s="18" t="s">
        <v>60</v>
      </c>
      <c r="B37" s="18" t="s">
        <v>61</v>
      </c>
      <c r="C37" s="18" t="s">
        <v>62</v>
      </c>
      <c r="D37" s="18" t="s">
        <v>63</v>
      </c>
      <c r="E37" s="18" t="s">
        <v>64</v>
      </c>
      <c r="F37" s="18" t="s">
        <v>65</v>
      </c>
      <c r="G37" s="18" t="s">
        <v>66</v>
      </c>
      <c r="H37" s="18" t="s">
        <v>67</v>
      </c>
      <c r="I37" s="18" t="s">
        <v>68</v>
      </c>
    </row>
    <row r="38" spans="1:9" x14ac:dyDescent="0.2">
      <c r="A38" s="4" t="s">
        <v>69</v>
      </c>
      <c r="B38" s="5">
        <v>0</v>
      </c>
      <c r="C38" s="5">
        <v>0</v>
      </c>
      <c r="D38" s="5">
        <v>0</v>
      </c>
      <c r="E38" s="14">
        <v>13</v>
      </c>
      <c r="F38" s="14">
        <v>10</v>
      </c>
      <c r="G38" s="14">
        <v>30</v>
      </c>
      <c r="H38" s="19">
        <v>4100</v>
      </c>
      <c r="I38" s="20"/>
    </row>
    <row r="39" spans="1:9" x14ac:dyDescent="0.2">
      <c r="A39" s="4" t="s">
        <v>70</v>
      </c>
      <c r="B39" s="5">
        <v>20</v>
      </c>
      <c r="C39" s="5">
        <v>0</v>
      </c>
      <c r="D39" s="5">
        <v>0</v>
      </c>
      <c r="E39" s="14">
        <v>10</v>
      </c>
      <c r="F39" s="14">
        <v>19</v>
      </c>
      <c r="G39" s="14">
        <v>28</v>
      </c>
      <c r="H39" s="17">
        <v>16586</v>
      </c>
      <c r="I39" s="20"/>
    </row>
    <row r="41" spans="1:9" ht="45" customHeight="1" x14ac:dyDescent="0.2">
      <c r="A41" s="4" t="s">
        <v>71</v>
      </c>
      <c r="B41" s="54" t="str">
        <f>IF(OR(H38="",H39=""),"Pending — run Solver from both starting points above and paste the Final results (E:H) for Run 1 and Run 2.",IF(ROUND(H38,2)=ROUND(H39,2),"Same optimum reached from both starts — no path-dependence detected in this instance.","Path-dependent: the two starts converge to different local optima (Run 1 profit "&amp;TEXT(H38,"$#,##0")&amp;" vs Run 2 profit "&amp;TEXT(H39,"$#,##0")&amp;"). Report the higher-profit run; the (1+dim%)^q term makes the objective non-convex, so GRG Nonlinear is only guaranteed to find a local optimum."))</f>
        <v>Path-dependent: the two starts converge to different local optima (Run 1 profit $4,100 vs Run 2 profit $16,586). Report the higher-profit run; the (1+dim%)^q term makes the objective non-convex, so GRG Nonlinear is only guaranteed to find a local optimum.</v>
      </c>
      <c r="C41" s="52"/>
      <c r="D41" s="52"/>
      <c r="E41" s="52"/>
      <c r="F41" s="52"/>
      <c r="G41" s="52"/>
      <c r="H41" s="52"/>
      <c r="I41" s="52"/>
    </row>
    <row r="43" spans="1:9" x14ac:dyDescent="0.2">
      <c r="A43" s="21" t="s">
        <v>72</v>
      </c>
    </row>
    <row r="44" spans="1:9" ht="45" customHeight="1" x14ac:dyDescent="0.2">
      <c r="A44" s="51" t="s">
        <v>73</v>
      </c>
      <c r="B44" s="52"/>
      <c r="C44" s="52"/>
      <c r="D44" s="52"/>
      <c r="E44" s="52"/>
      <c r="F44" s="52"/>
      <c r="G44" s="52"/>
      <c r="H44" s="52"/>
      <c r="I44" s="52"/>
    </row>
  </sheetData>
  <mergeCells count="16">
    <mergeCell ref="A44:I44"/>
    <mergeCell ref="A22:F22"/>
    <mergeCell ref="A34:F34"/>
    <mergeCell ref="B41:I41"/>
    <mergeCell ref="A26:F26"/>
    <mergeCell ref="A30:F30"/>
    <mergeCell ref="A29:F29"/>
    <mergeCell ref="A25:F25"/>
    <mergeCell ref="A24:F24"/>
    <mergeCell ref="A33:F33"/>
    <mergeCell ref="A16:B16"/>
    <mergeCell ref="A28:F28"/>
    <mergeCell ref="A23:F23"/>
    <mergeCell ref="A32:F32"/>
    <mergeCell ref="A27:F27"/>
    <mergeCell ref="A31:F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workbookViewId="0"/>
  </sheetViews>
  <sheetFormatPr baseColWidth="10" defaultColWidth="8.83203125" defaultRowHeight="15" x14ac:dyDescent="0.2"/>
  <cols>
    <col min="1" max="1" width="46" customWidth="1"/>
    <col min="2" max="6" width="16" customWidth="1"/>
  </cols>
  <sheetData>
    <row r="1" spans="1:6" ht="18" customHeight="1" x14ac:dyDescent="0.2">
      <c r="A1" s="13" t="s">
        <v>74</v>
      </c>
    </row>
    <row r="3" spans="1:6" x14ac:dyDescent="0.2">
      <c r="A3" s="55" t="s">
        <v>75</v>
      </c>
      <c r="B3" s="52"/>
      <c r="C3" s="52"/>
      <c r="D3" s="52"/>
      <c r="E3" s="52"/>
      <c r="F3" s="52"/>
    </row>
    <row r="5" spans="1:6" ht="31" customHeight="1" x14ac:dyDescent="0.2">
      <c r="A5" s="18" t="s">
        <v>19</v>
      </c>
      <c r="B5" s="18" t="s">
        <v>76</v>
      </c>
      <c r="C5" s="18" t="s">
        <v>22</v>
      </c>
      <c r="D5" s="18" t="s">
        <v>77</v>
      </c>
      <c r="E5" s="18" t="s">
        <v>78</v>
      </c>
      <c r="F5" s="18" t="s">
        <v>79</v>
      </c>
    </row>
    <row r="6" spans="1:6" x14ac:dyDescent="0.2">
      <c r="A6" s="11" t="s">
        <v>25</v>
      </c>
      <c r="B6" s="16">
        <f>'Solver Model'!B4</f>
        <v>10</v>
      </c>
      <c r="C6" s="22">
        <f>Inputs!D25</f>
        <v>2.5</v>
      </c>
      <c r="D6" s="16">
        <f>Inputs!B4</f>
        <v>36</v>
      </c>
      <c r="E6" s="23">
        <f>Inputs!F25</f>
        <v>0.1</v>
      </c>
      <c r="F6" s="8">
        <f>B6*C6*D6*(1+E6)^B6</f>
        <v>2334.3682140900019</v>
      </c>
    </row>
    <row r="7" spans="1:6" x14ac:dyDescent="0.2">
      <c r="A7" s="11" t="s">
        <v>26</v>
      </c>
      <c r="B7" s="16">
        <f>'Solver Model'!B5</f>
        <v>19</v>
      </c>
      <c r="C7" s="22">
        <f>Inputs!D26</f>
        <v>0.83299999999999996</v>
      </c>
      <c r="D7" s="16">
        <f>Inputs!B4</f>
        <v>36</v>
      </c>
      <c r="E7" s="23">
        <f>Inputs!F26</f>
        <v>2.5000000000000001E-2</v>
      </c>
      <c r="F7" s="8">
        <f>B7*C7*D7*(1+E7)^B7</f>
        <v>910.86611357769698</v>
      </c>
    </row>
    <row r="8" spans="1:6" x14ac:dyDescent="0.2">
      <c r="A8" s="11" t="s">
        <v>27</v>
      </c>
      <c r="B8" s="16">
        <f>'Solver Model'!B6</f>
        <v>28</v>
      </c>
      <c r="C8" s="22">
        <f>Inputs!D27</f>
        <v>1.25</v>
      </c>
      <c r="D8" s="16">
        <f>Inputs!B4</f>
        <v>36</v>
      </c>
      <c r="E8" s="23">
        <f>Inputs!F27</f>
        <v>1.2500000000000001E-2</v>
      </c>
      <c r="F8" s="8">
        <f>B8*C8*D8*(1+E8)^B8</f>
        <v>1784.1503025602246</v>
      </c>
    </row>
    <row r="9" spans="1:6" x14ac:dyDescent="0.2">
      <c r="A9" s="21" t="s">
        <v>80</v>
      </c>
      <c r="F9" s="24">
        <f>SUM(F6:F8)</f>
        <v>5029.3846302279235</v>
      </c>
    </row>
    <row r="11" spans="1:6" x14ac:dyDescent="0.2">
      <c r="A11" s="48" t="s">
        <v>81</v>
      </c>
      <c r="B11" s="3"/>
    </row>
    <row r="12" spans="1:6" x14ac:dyDescent="0.2">
      <c r="A12" s="4" t="s">
        <v>82</v>
      </c>
      <c r="B12" s="25" t="s">
        <v>25</v>
      </c>
    </row>
    <row r="13" spans="1:6" x14ac:dyDescent="0.2">
      <c r="A13" s="4" t="s">
        <v>83</v>
      </c>
      <c r="B13" s="14">
        <v>10</v>
      </c>
    </row>
    <row r="14" spans="1:6" x14ac:dyDescent="0.2">
      <c r="A14" s="4" t="s">
        <v>22</v>
      </c>
      <c r="B14" s="22">
        <f>Inputs!D25</f>
        <v>2.5</v>
      </c>
    </row>
    <row r="15" spans="1:6" x14ac:dyDescent="0.2">
      <c r="A15" s="4" t="s">
        <v>78</v>
      </c>
      <c r="B15" s="23">
        <f>Inputs!F25</f>
        <v>0.1</v>
      </c>
    </row>
    <row r="16" spans="1:6" x14ac:dyDescent="0.2">
      <c r="A16" s="4" t="s">
        <v>84</v>
      </c>
      <c r="B16" s="8">
        <f>B13*B14*Inputs!B4*(1+B15)^B13</f>
        <v>2334.3682140900019</v>
      </c>
    </row>
    <row r="17" spans="1:2" x14ac:dyDescent="0.2">
      <c r="A17" s="4" t="s">
        <v>85</v>
      </c>
      <c r="B17" s="8">
        <f>(B13-1)*B14*Inputs!B4*(1+B15)^(B13-1)</f>
        <v>1909.9376297100011</v>
      </c>
    </row>
    <row r="18" spans="1:2" x14ac:dyDescent="0.2">
      <c r="A18" s="4" t="s">
        <v>86</v>
      </c>
      <c r="B18" s="8">
        <f>B16-B17</f>
        <v>424.43058438000071</v>
      </c>
    </row>
    <row r="19" spans="1:2" x14ac:dyDescent="0.2">
      <c r="A19" s="44" t="s">
        <v>87</v>
      </c>
      <c r="B19" s="35">
        <f>MAX(Inputs!B14-B17,0)</f>
        <v>0</v>
      </c>
    </row>
    <row r="20" spans="1:2" x14ac:dyDescent="0.2">
      <c r="A20" s="44" t="s">
        <v>88</v>
      </c>
      <c r="B20" s="35">
        <f>MIN(B18,B19)</f>
        <v>0</v>
      </c>
    </row>
    <row r="21" spans="1:2" x14ac:dyDescent="0.2">
      <c r="A21" s="44" t="s">
        <v>89</v>
      </c>
      <c r="B21" s="35">
        <f>B18-B20</f>
        <v>424.43058438000071</v>
      </c>
    </row>
    <row r="22" spans="1:2" x14ac:dyDescent="0.2">
      <c r="A22" s="44" t="s">
        <v>90</v>
      </c>
      <c r="B22" s="36">
        <f>B21*(Inputs!B18/Inputs!B19)</f>
        <v>7368.586534375012</v>
      </c>
    </row>
    <row r="23" spans="1:2" x14ac:dyDescent="0.2">
      <c r="A23" s="44" t="s">
        <v>91</v>
      </c>
      <c r="B23" s="37">
        <f>Inputs!E25</f>
        <v>880</v>
      </c>
    </row>
    <row r="24" spans="1:2" x14ac:dyDescent="0.2">
      <c r="A24" s="44" t="s">
        <v>92</v>
      </c>
      <c r="B24" s="36">
        <f>B22+B23</f>
        <v>8248.586534375012</v>
      </c>
    </row>
    <row r="25" spans="1:2" x14ac:dyDescent="0.2">
      <c r="A25" s="44" t="s">
        <v>93</v>
      </c>
      <c r="B25" s="37">
        <f>Inputs!C25</f>
        <v>8800</v>
      </c>
    </row>
    <row r="26" spans="1:2" x14ac:dyDescent="0.2">
      <c r="A26" s="44" t="s">
        <v>94</v>
      </c>
      <c r="B26" s="36">
        <f>B25-B24</f>
        <v>551.41346562498802</v>
      </c>
    </row>
    <row r="27" spans="1:2" x14ac:dyDescent="0.2">
      <c r="A27" s="4"/>
      <c r="B27" s="17"/>
    </row>
    <row r="28" spans="1:2" x14ac:dyDescent="0.2">
      <c r="A28" s="44" t="s">
        <v>95</v>
      </c>
      <c r="B28" s="49"/>
    </row>
    <row r="29" spans="1:2" x14ac:dyDescent="0.2">
      <c r="A29" s="44" t="s">
        <v>96</v>
      </c>
      <c r="B29" s="34" t="str">
        <f>IF(B28="","Pending — paste Farm Profit Lab figure",IF(ROUND(B28,2)=ROUND(B24,2),"MATCH","REVIEW — differs from Farm Profit Lab"))</f>
        <v>Pending — paste Farm Profit Lab figure</v>
      </c>
    </row>
    <row r="30" spans="1:2" x14ac:dyDescent="0.2">
      <c r="A30" s="4"/>
      <c r="B30" s="19"/>
    </row>
    <row r="31" spans="1:2" x14ac:dyDescent="0.2">
      <c r="A31" s="4"/>
      <c r="B31" s="11"/>
    </row>
  </sheetData>
  <mergeCells count="1"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9"/>
  <sheetViews>
    <sheetView workbookViewId="0">
      <selection sqref="A1:K1"/>
    </sheetView>
  </sheetViews>
  <sheetFormatPr baseColWidth="10" defaultColWidth="8.83203125" defaultRowHeight="15" x14ac:dyDescent="0.2"/>
  <cols>
    <col min="1" max="1" width="6" customWidth="1"/>
    <col min="2" max="12" width="13" customWidth="1"/>
  </cols>
  <sheetData>
    <row r="1" spans="1:12" ht="18" x14ac:dyDescent="0.2">
      <c r="A1" s="57" t="s">
        <v>97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3" spans="1:12" ht="15" customHeight="1" x14ac:dyDescent="0.2">
      <c r="A3" s="56" t="s">
        <v>98</v>
      </c>
      <c r="B3" s="52"/>
      <c r="C3" s="52"/>
      <c r="D3" s="52"/>
      <c r="E3" s="52"/>
      <c r="F3" s="52"/>
      <c r="G3" s="52"/>
      <c r="H3" s="52"/>
      <c r="I3" s="52"/>
      <c r="J3" s="52"/>
      <c r="K3" s="52"/>
    </row>
    <row r="4" spans="1:12" ht="15" customHeight="1" x14ac:dyDescent="0.2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</row>
    <row r="5" spans="1:12" ht="15" customHeight="1" x14ac:dyDescent="0.2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</row>
    <row r="7" spans="1:12" ht="16" x14ac:dyDescent="0.2">
      <c r="A7" s="32" t="s">
        <v>99</v>
      </c>
    </row>
    <row r="8" spans="1:12" ht="30" x14ac:dyDescent="0.2">
      <c r="A8" s="33" t="s">
        <v>100</v>
      </c>
      <c r="B8" s="33" t="s">
        <v>101</v>
      </c>
      <c r="C8" s="33" t="s">
        <v>102</v>
      </c>
      <c r="D8" s="33" t="s">
        <v>103</v>
      </c>
      <c r="E8" s="33" t="s">
        <v>104</v>
      </c>
      <c r="F8" s="33" t="s">
        <v>105</v>
      </c>
      <c r="G8" s="33" t="s">
        <v>106</v>
      </c>
      <c r="H8" s="33" t="s">
        <v>107</v>
      </c>
      <c r="I8" s="33" t="s">
        <v>108</v>
      </c>
      <c r="J8" s="33" t="s">
        <v>109</v>
      </c>
      <c r="K8" s="33" t="s">
        <v>110</v>
      </c>
      <c r="L8" s="33" t="s">
        <v>111</v>
      </c>
    </row>
    <row r="9" spans="1:12" x14ac:dyDescent="0.2">
      <c r="A9" s="34">
        <v>1</v>
      </c>
      <c r="B9" s="35">
        <f>IF(1-1&lt;=0,0,(1-1)*Inputs!$D$25*Inputs!$B$4*(1+Inputs!$F$25)^(1-1))</f>
        <v>0</v>
      </c>
      <c r="C9" s="35">
        <f>1*Inputs!$D$25*Inputs!$B$4*(1+Inputs!$F$25)^1</f>
        <v>99.000000000000014</v>
      </c>
      <c r="D9" s="35">
        <f t="shared" ref="D9:D20" si="0">C9-B9</f>
        <v>99.000000000000014</v>
      </c>
      <c r="E9" s="35">
        <f>MIN(D9,MAX(Inputs!$B$14-B9,0))</f>
        <v>99.000000000000014</v>
      </c>
      <c r="F9" s="35">
        <f t="shared" ref="F9:F20" si="1">D9-E9</f>
        <v>0</v>
      </c>
      <c r="G9" s="36">
        <f>F9*(Inputs!$B$18/Inputs!$B$19)</f>
        <v>0</v>
      </c>
      <c r="H9" s="37">
        <f>Inputs!$E$25</f>
        <v>880</v>
      </c>
      <c r="I9" s="36">
        <f t="shared" ref="I9:I20" si="2">G9+H9</f>
        <v>880</v>
      </c>
      <c r="J9" s="37">
        <f>Inputs!$C$25</f>
        <v>8800</v>
      </c>
      <c r="K9" s="36">
        <f t="shared" ref="K9:K20" si="3">J9-I9</f>
        <v>7920</v>
      </c>
      <c r="L9" s="34" t="str">
        <f t="shared" ref="L9:L20" si="4">IF(K9&gt;=0,"Yes","No")</f>
        <v>Yes</v>
      </c>
    </row>
    <row r="10" spans="1:12" x14ac:dyDescent="0.2">
      <c r="A10" s="34">
        <v>2</v>
      </c>
      <c r="B10" s="35">
        <f>IF(2-1&lt;=0,0,(2-1)*Inputs!$D$25*Inputs!$B$4*(1+Inputs!$F$25)^(2-1))</f>
        <v>99.000000000000014</v>
      </c>
      <c r="C10" s="35">
        <f>2*Inputs!$D$25*Inputs!$B$4*(1+Inputs!$F$25)^2</f>
        <v>217.80000000000004</v>
      </c>
      <c r="D10" s="35">
        <f t="shared" si="0"/>
        <v>118.80000000000003</v>
      </c>
      <c r="E10" s="35">
        <f>MIN(D10,MAX(Inputs!$B$14-B10,0))</f>
        <v>118.80000000000003</v>
      </c>
      <c r="F10" s="35">
        <f t="shared" si="1"/>
        <v>0</v>
      </c>
      <c r="G10" s="36">
        <f>F10*(Inputs!$B$18/Inputs!$B$19)</f>
        <v>0</v>
      </c>
      <c r="H10" s="37">
        <f>Inputs!$E$25</f>
        <v>880</v>
      </c>
      <c r="I10" s="36">
        <f t="shared" si="2"/>
        <v>880</v>
      </c>
      <c r="J10" s="37">
        <f>Inputs!$C$25</f>
        <v>8800</v>
      </c>
      <c r="K10" s="36">
        <f t="shared" si="3"/>
        <v>7920</v>
      </c>
      <c r="L10" s="34" t="str">
        <f t="shared" si="4"/>
        <v>Yes</v>
      </c>
    </row>
    <row r="11" spans="1:12" x14ac:dyDescent="0.2">
      <c r="A11" s="34">
        <v>3</v>
      </c>
      <c r="B11" s="35">
        <f>IF(3-1&lt;=0,0,(3-1)*Inputs!$D$25*Inputs!$B$4*(1+Inputs!$F$25)^(3-1))</f>
        <v>217.80000000000004</v>
      </c>
      <c r="C11" s="35">
        <f>3*Inputs!$D$25*Inputs!$B$4*(1+Inputs!$F$25)^3</f>
        <v>359.37000000000012</v>
      </c>
      <c r="D11" s="35">
        <f t="shared" si="0"/>
        <v>141.57000000000008</v>
      </c>
      <c r="E11" s="35">
        <f>MIN(D11,MAX(Inputs!$B$14-B11,0))</f>
        <v>141.57000000000008</v>
      </c>
      <c r="F11" s="35">
        <f t="shared" si="1"/>
        <v>0</v>
      </c>
      <c r="G11" s="36">
        <f>F11*(Inputs!$B$18/Inputs!$B$19)</f>
        <v>0</v>
      </c>
      <c r="H11" s="37">
        <f>Inputs!$E$25</f>
        <v>880</v>
      </c>
      <c r="I11" s="36">
        <f t="shared" si="2"/>
        <v>880</v>
      </c>
      <c r="J11" s="37">
        <f>Inputs!$C$25</f>
        <v>8800</v>
      </c>
      <c r="K11" s="36">
        <f t="shared" si="3"/>
        <v>7920</v>
      </c>
      <c r="L11" s="34" t="str">
        <f t="shared" si="4"/>
        <v>Yes</v>
      </c>
    </row>
    <row r="12" spans="1:12" x14ac:dyDescent="0.2">
      <c r="A12" s="34">
        <v>4</v>
      </c>
      <c r="B12" s="35">
        <f>IF(4-1&lt;=0,0,(4-1)*Inputs!$D$25*Inputs!$B$4*(1+Inputs!$F$25)^(4-1))</f>
        <v>359.37000000000012</v>
      </c>
      <c r="C12" s="35">
        <f>4*Inputs!$D$25*Inputs!$B$4*(1+Inputs!$F$25)^4</f>
        <v>527.07600000000014</v>
      </c>
      <c r="D12" s="35">
        <f t="shared" si="0"/>
        <v>167.70600000000002</v>
      </c>
      <c r="E12" s="35">
        <f>MIN(D12,MAX(Inputs!$B$14-B12,0))</f>
        <v>167.70600000000002</v>
      </c>
      <c r="F12" s="35">
        <f t="shared" si="1"/>
        <v>0</v>
      </c>
      <c r="G12" s="36">
        <f>F12*(Inputs!$B$18/Inputs!$B$19)</f>
        <v>0</v>
      </c>
      <c r="H12" s="37">
        <f>Inputs!$E$25</f>
        <v>880</v>
      </c>
      <c r="I12" s="36">
        <f t="shared" si="2"/>
        <v>880</v>
      </c>
      <c r="J12" s="37">
        <f>Inputs!$C$25</f>
        <v>8800</v>
      </c>
      <c r="K12" s="36">
        <f t="shared" si="3"/>
        <v>7920</v>
      </c>
      <c r="L12" s="34" t="str">
        <f t="shared" si="4"/>
        <v>Yes</v>
      </c>
    </row>
    <row r="13" spans="1:12" x14ac:dyDescent="0.2">
      <c r="A13" s="34">
        <v>5</v>
      </c>
      <c r="B13" s="35">
        <f>IF(5-1&lt;=0,0,(5-1)*Inputs!$D$25*Inputs!$B$4*(1+Inputs!$F$25)^(5-1))</f>
        <v>527.07600000000014</v>
      </c>
      <c r="C13" s="35">
        <f>5*Inputs!$D$25*Inputs!$B$4*(1+Inputs!$F$25)^5</f>
        <v>724.72950000000026</v>
      </c>
      <c r="D13" s="35">
        <f t="shared" si="0"/>
        <v>197.65350000000012</v>
      </c>
      <c r="E13" s="35">
        <f>MIN(D13,MAX(Inputs!$B$14-B13,0))</f>
        <v>192.92399999999986</v>
      </c>
      <c r="F13" s="35">
        <f t="shared" si="1"/>
        <v>4.7295000000002574</v>
      </c>
      <c r="G13" s="36">
        <f>F13*(Inputs!$B$18/Inputs!$B$19)</f>
        <v>82.109375000004462</v>
      </c>
      <c r="H13" s="37">
        <f>Inputs!$E$25</f>
        <v>880</v>
      </c>
      <c r="I13" s="36">
        <f t="shared" si="2"/>
        <v>962.10937500000443</v>
      </c>
      <c r="J13" s="37">
        <f>Inputs!$C$25</f>
        <v>8800</v>
      </c>
      <c r="K13" s="36">
        <f t="shared" si="3"/>
        <v>7837.8906249999955</v>
      </c>
      <c r="L13" s="34" t="str">
        <f t="shared" si="4"/>
        <v>Yes</v>
      </c>
    </row>
    <row r="14" spans="1:12" x14ac:dyDescent="0.2">
      <c r="A14" s="34">
        <v>6</v>
      </c>
      <c r="B14" s="35">
        <f>IF(6-1&lt;=0,0,(6-1)*Inputs!$D$25*Inputs!$B$4*(1+Inputs!$F$25)^(6-1))</f>
        <v>724.72950000000026</v>
      </c>
      <c r="C14" s="35">
        <f>6*Inputs!$D$25*Inputs!$B$4*(1+Inputs!$F$25)^6</f>
        <v>956.64294000000041</v>
      </c>
      <c r="D14" s="35">
        <f t="shared" si="0"/>
        <v>231.91344000000015</v>
      </c>
      <c r="E14" s="35">
        <f>MIN(D14,MAX(Inputs!$B$14-B14,0))</f>
        <v>0</v>
      </c>
      <c r="F14" s="35">
        <f t="shared" si="1"/>
        <v>231.91344000000015</v>
      </c>
      <c r="G14" s="36">
        <f>F14*(Inputs!$B$18/Inputs!$B$19)</f>
        <v>4026.2750000000024</v>
      </c>
      <c r="H14" s="37">
        <f>Inputs!$E$25</f>
        <v>880</v>
      </c>
      <c r="I14" s="36">
        <f t="shared" si="2"/>
        <v>4906.2750000000024</v>
      </c>
      <c r="J14" s="37">
        <f>Inputs!$C$25</f>
        <v>8800</v>
      </c>
      <c r="K14" s="36">
        <f t="shared" si="3"/>
        <v>3893.7249999999976</v>
      </c>
      <c r="L14" s="34" t="str">
        <f t="shared" si="4"/>
        <v>Yes</v>
      </c>
    </row>
    <row r="15" spans="1:12" x14ac:dyDescent="0.2">
      <c r="A15" s="34">
        <v>7</v>
      </c>
      <c r="B15" s="35">
        <f>IF(7-1&lt;=0,0,(7-1)*Inputs!$D$25*Inputs!$B$4*(1+Inputs!$F$25)^(7-1))</f>
        <v>956.64294000000041</v>
      </c>
      <c r="C15" s="35">
        <f>7*Inputs!$D$25*Inputs!$B$4*(1+Inputs!$F$25)^7</f>
        <v>1227.6917730000007</v>
      </c>
      <c r="D15" s="35">
        <f t="shared" si="0"/>
        <v>271.04883300000029</v>
      </c>
      <c r="E15" s="35">
        <f>MIN(D15,MAX(Inputs!$B$14-B15,0))</f>
        <v>0</v>
      </c>
      <c r="F15" s="35">
        <f t="shared" si="1"/>
        <v>271.04883300000029</v>
      </c>
      <c r="G15" s="36">
        <f>F15*(Inputs!$B$18/Inputs!$B$19)</f>
        <v>4705.7089062500045</v>
      </c>
      <c r="H15" s="37">
        <f>Inputs!$E$25</f>
        <v>880</v>
      </c>
      <c r="I15" s="36">
        <f t="shared" si="2"/>
        <v>5585.7089062500045</v>
      </c>
      <c r="J15" s="37">
        <f>Inputs!$C$25</f>
        <v>8800</v>
      </c>
      <c r="K15" s="36">
        <f t="shared" si="3"/>
        <v>3214.2910937499955</v>
      </c>
      <c r="L15" s="34" t="str">
        <f t="shared" si="4"/>
        <v>Yes</v>
      </c>
    </row>
    <row r="16" spans="1:12" x14ac:dyDescent="0.2">
      <c r="A16" s="34">
        <v>8</v>
      </c>
      <c r="B16" s="35">
        <f>IF(8-1&lt;=0,0,(8-1)*Inputs!$D$25*Inputs!$B$4*(1+Inputs!$F$25)^(8-1))</f>
        <v>1227.6917730000007</v>
      </c>
      <c r="C16" s="35">
        <f>8*Inputs!$D$25*Inputs!$B$4*(1+Inputs!$F$25)^8</f>
        <v>1543.3839432000009</v>
      </c>
      <c r="D16" s="35">
        <f t="shared" si="0"/>
        <v>315.69217020000019</v>
      </c>
      <c r="E16" s="35">
        <f>MIN(D16,MAX(Inputs!$B$14-B16,0))</f>
        <v>0</v>
      </c>
      <c r="F16" s="35">
        <f t="shared" si="1"/>
        <v>315.69217020000019</v>
      </c>
      <c r="G16" s="36">
        <f>F16*(Inputs!$B$18/Inputs!$B$19)</f>
        <v>5480.7668437500033</v>
      </c>
      <c r="H16" s="37">
        <f>Inputs!$E$25</f>
        <v>880</v>
      </c>
      <c r="I16" s="36">
        <f t="shared" si="2"/>
        <v>6360.7668437500033</v>
      </c>
      <c r="J16" s="37">
        <f>Inputs!$C$25</f>
        <v>8800</v>
      </c>
      <c r="K16" s="36">
        <f t="shared" si="3"/>
        <v>2439.2331562499967</v>
      </c>
      <c r="L16" s="34" t="str">
        <f t="shared" si="4"/>
        <v>Yes</v>
      </c>
    </row>
    <row r="17" spans="1:12" x14ac:dyDescent="0.2">
      <c r="A17" s="34">
        <v>9</v>
      </c>
      <c r="B17" s="35">
        <f>IF(9-1&lt;=0,0,(9-1)*Inputs!$D$25*Inputs!$B$4*(1+Inputs!$F$25)^(9-1))</f>
        <v>1543.3839432000009</v>
      </c>
      <c r="C17" s="35">
        <f>9*Inputs!$D$25*Inputs!$B$4*(1+Inputs!$F$25)^9</f>
        <v>1909.9376297100011</v>
      </c>
      <c r="D17" s="35">
        <f t="shared" si="0"/>
        <v>366.55368651000026</v>
      </c>
      <c r="E17" s="35">
        <f>MIN(D17,MAX(Inputs!$B$14-B17,0))</f>
        <v>0</v>
      </c>
      <c r="F17" s="35">
        <f t="shared" si="1"/>
        <v>366.55368651000026</v>
      </c>
      <c r="G17" s="36">
        <f>F17*(Inputs!$B$18/Inputs!$B$19)</f>
        <v>6363.7792796875046</v>
      </c>
      <c r="H17" s="37">
        <f>Inputs!$E$25</f>
        <v>880</v>
      </c>
      <c r="I17" s="36">
        <f t="shared" si="2"/>
        <v>7243.7792796875046</v>
      </c>
      <c r="J17" s="37">
        <f>Inputs!$C$25</f>
        <v>8800</v>
      </c>
      <c r="K17" s="36">
        <f t="shared" si="3"/>
        <v>1556.2207203124954</v>
      </c>
      <c r="L17" s="34" t="str">
        <f t="shared" si="4"/>
        <v>Yes</v>
      </c>
    </row>
    <row r="18" spans="1:12" x14ac:dyDescent="0.2">
      <c r="A18" s="38">
        <v>10</v>
      </c>
      <c r="B18" s="39">
        <f>IF(10-1&lt;=0,0,(10-1)*Inputs!$D$25*Inputs!$B$4*(1+Inputs!$F$25)^(10-1))</f>
        <v>1909.9376297100011</v>
      </c>
      <c r="C18" s="39">
        <f>10*Inputs!$D$25*Inputs!$B$4*(1+Inputs!$F$25)^10</f>
        <v>2334.3682140900019</v>
      </c>
      <c r="D18" s="39">
        <f t="shared" si="0"/>
        <v>424.43058438000071</v>
      </c>
      <c r="E18" s="39">
        <f>MIN(D18,MAX(Inputs!$B$14-B18,0))</f>
        <v>0</v>
      </c>
      <c r="F18" s="39">
        <f t="shared" si="1"/>
        <v>424.43058438000071</v>
      </c>
      <c r="G18" s="40">
        <f>F18*(Inputs!$B$18/Inputs!$B$19)</f>
        <v>7368.586534375012</v>
      </c>
      <c r="H18" s="41">
        <f>Inputs!$E$25</f>
        <v>880</v>
      </c>
      <c r="I18" s="40">
        <f t="shared" si="2"/>
        <v>8248.586534375012</v>
      </c>
      <c r="J18" s="41">
        <f>Inputs!$C$25</f>
        <v>8800</v>
      </c>
      <c r="K18" s="40">
        <f t="shared" si="3"/>
        <v>551.41346562498802</v>
      </c>
      <c r="L18" s="38" t="str">
        <f t="shared" si="4"/>
        <v>Yes</v>
      </c>
    </row>
    <row r="19" spans="1:12" x14ac:dyDescent="0.2">
      <c r="A19" s="38">
        <v>11</v>
      </c>
      <c r="B19" s="39">
        <f>IF(11-1&lt;=0,0,(11-1)*Inputs!$D$25*Inputs!$B$4*(1+Inputs!$F$25)^(11-1))</f>
        <v>2334.3682140900019</v>
      </c>
      <c r="C19" s="39">
        <f>11*Inputs!$D$25*Inputs!$B$4*(1+Inputs!$F$25)^11</f>
        <v>2824.5855390489023</v>
      </c>
      <c r="D19" s="39">
        <f t="shared" si="0"/>
        <v>490.21732495890046</v>
      </c>
      <c r="E19" s="39">
        <f>MIN(D19,MAX(Inputs!$B$14-B19,0))</f>
        <v>0</v>
      </c>
      <c r="F19" s="39">
        <f t="shared" si="1"/>
        <v>490.21732495890046</v>
      </c>
      <c r="G19" s="40">
        <f>F19*(Inputs!$B$18/Inputs!$B$19)</f>
        <v>8510.7174472031329</v>
      </c>
      <c r="H19" s="41">
        <f>Inputs!$E$25</f>
        <v>880</v>
      </c>
      <c r="I19" s="40">
        <f t="shared" si="2"/>
        <v>9390.7174472031329</v>
      </c>
      <c r="J19" s="41">
        <f>Inputs!$C$25</f>
        <v>8800</v>
      </c>
      <c r="K19" s="40">
        <f t="shared" si="3"/>
        <v>-590.71744720313291</v>
      </c>
      <c r="L19" s="38" t="str">
        <f t="shared" si="4"/>
        <v>No</v>
      </c>
    </row>
    <row r="20" spans="1:12" x14ac:dyDescent="0.2">
      <c r="A20" s="34">
        <v>12</v>
      </c>
      <c r="B20" s="35">
        <f>IF(12-1&lt;=0,0,(12-1)*Inputs!$D$25*Inputs!$B$4*(1+Inputs!$F$25)^(12-1))</f>
        <v>2824.5855390489023</v>
      </c>
      <c r="C20" s="35">
        <f>12*Inputs!$D$25*Inputs!$B$4*(1+Inputs!$F$25)^12</f>
        <v>3389.502646858683</v>
      </c>
      <c r="D20" s="35">
        <f t="shared" si="0"/>
        <v>564.91710780978065</v>
      </c>
      <c r="E20" s="35">
        <f>MIN(D20,MAX(Inputs!$B$14-B20,0))</f>
        <v>0</v>
      </c>
      <c r="F20" s="35">
        <f t="shared" si="1"/>
        <v>564.91710780978065</v>
      </c>
      <c r="G20" s="36">
        <f>F20*(Inputs!$B$18/Inputs!$B$19)</f>
        <v>9807.5886772531358</v>
      </c>
      <c r="H20" s="37">
        <f>Inputs!$E$25</f>
        <v>880</v>
      </c>
      <c r="I20" s="36">
        <f t="shared" si="2"/>
        <v>10687.588677253136</v>
      </c>
      <c r="J20" s="37">
        <f>Inputs!$C$25</f>
        <v>8800</v>
      </c>
      <c r="K20" s="36">
        <f t="shared" si="3"/>
        <v>-1887.5886772531358</v>
      </c>
      <c r="L20" s="34" t="str">
        <f t="shared" si="4"/>
        <v>No</v>
      </c>
    </row>
    <row r="22" spans="1:12" ht="15" customHeight="1" x14ac:dyDescent="0.2">
      <c r="A22" s="56" t="s">
        <v>112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</row>
    <row r="23" spans="1:12" ht="15" customHeight="1" x14ac:dyDescent="0.2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</row>
    <row r="24" spans="1:12" ht="15" customHeight="1" x14ac:dyDescent="0.2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</row>
    <row r="26" spans="1:12" ht="16" x14ac:dyDescent="0.2">
      <c r="A26" s="32" t="s">
        <v>113</v>
      </c>
    </row>
    <row r="27" spans="1:12" ht="30" x14ac:dyDescent="0.2">
      <c r="A27" s="33" t="s">
        <v>100</v>
      </c>
      <c r="B27" s="33" t="s">
        <v>101</v>
      </c>
      <c r="C27" s="33" t="s">
        <v>102</v>
      </c>
      <c r="D27" s="33" t="s">
        <v>103</v>
      </c>
      <c r="E27" s="33" t="s">
        <v>104</v>
      </c>
      <c r="F27" s="33" t="s">
        <v>105</v>
      </c>
      <c r="G27" s="33" t="s">
        <v>106</v>
      </c>
      <c r="H27" s="33" t="s">
        <v>107</v>
      </c>
      <c r="I27" s="33" t="s">
        <v>108</v>
      </c>
      <c r="J27" s="33" t="s">
        <v>109</v>
      </c>
      <c r="K27" s="33" t="s">
        <v>110</v>
      </c>
      <c r="L27" s="33" t="s">
        <v>111</v>
      </c>
    </row>
    <row r="28" spans="1:12" x14ac:dyDescent="0.2">
      <c r="A28" s="34">
        <v>16</v>
      </c>
      <c r="B28" s="35">
        <f>IF(16-1&lt;=0,0,(16-1)*Inputs!$D$26*Inputs!$B$4*(1+Inputs!$F$26)^(16-1))</f>
        <v>651.47348125418</v>
      </c>
      <c r="C28" s="35">
        <f>16*Inputs!$D$26*Inputs!$B$4*(1+Inputs!$F$26)^16</f>
        <v>712.27767283790342</v>
      </c>
      <c r="D28" s="35">
        <f t="shared" ref="D28:D33" si="5">C28-B28</f>
        <v>60.804191583723423</v>
      </c>
      <c r="E28" s="35">
        <f>MIN(D28,MAX(Inputs!$B$14-B28,0))</f>
        <v>60.804191583723423</v>
      </c>
      <c r="F28" s="35">
        <f t="shared" ref="F28:F33" si="6">D28-E28</f>
        <v>0</v>
      </c>
      <c r="G28" s="36">
        <f>F28*(Inputs!$B$18/Inputs!$B$19)</f>
        <v>0</v>
      </c>
      <c r="H28" s="37">
        <f>Inputs!$E$26</f>
        <v>440</v>
      </c>
      <c r="I28" s="36">
        <f t="shared" ref="I28:I33" si="7">G28+H28</f>
        <v>440</v>
      </c>
      <c r="J28" s="37">
        <f>Inputs!$C$26</f>
        <v>2094</v>
      </c>
      <c r="K28" s="36">
        <f t="shared" ref="K28:K33" si="8">J28-I28</f>
        <v>1654</v>
      </c>
      <c r="L28" s="34" t="str">
        <f t="shared" ref="L28:L33" si="9">IF(K28&gt;=0,"Yes","No")</f>
        <v>Yes</v>
      </c>
    </row>
    <row r="29" spans="1:12" x14ac:dyDescent="0.2">
      <c r="A29" s="34">
        <v>17</v>
      </c>
      <c r="B29" s="35">
        <f>IF(17-1&lt;=0,0,(17-1)*Inputs!$D$26*Inputs!$B$4*(1+Inputs!$F$26)^(17-1))</f>
        <v>712.27767283790342</v>
      </c>
      <c r="C29" s="35">
        <f>17*Inputs!$D$26*Inputs!$B$4*(1+Inputs!$F$26)^17</f>
        <v>775.71490307502916</v>
      </c>
      <c r="D29" s="35">
        <f t="shared" si="5"/>
        <v>63.437230237125732</v>
      </c>
      <c r="E29" s="35">
        <f>MIN(D29,MAX(Inputs!$B$14-B29,0))</f>
        <v>7.7223271620965761</v>
      </c>
      <c r="F29" s="35">
        <f t="shared" si="6"/>
        <v>55.714903075029156</v>
      </c>
      <c r="G29" s="36">
        <f>F29*(Inputs!$B$18/Inputs!$B$19)</f>
        <v>967.27262283036725</v>
      </c>
      <c r="H29" s="37">
        <f>Inputs!$E$26</f>
        <v>440</v>
      </c>
      <c r="I29" s="36">
        <f t="shared" si="7"/>
        <v>1407.2726228303673</v>
      </c>
      <c r="J29" s="37">
        <f>Inputs!$C$26</f>
        <v>2094</v>
      </c>
      <c r="K29" s="36">
        <f t="shared" si="8"/>
        <v>686.72737716963275</v>
      </c>
      <c r="L29" s="34" t="str">
        <f t="shared" si="9"/>
        <v>Yes</v>
      </c>
    </row>
    <row r="30" spans="1:12" x14ac:dyDescent="0.2">
      <c r="A30" s="34">
        <v>18</v>
      </c>
      <c r="B30" s="35">
        <f>IF(18-1&lt;=0,0,(18-1)*Inputs!$D$26*Inputs!$B$4*(1+Inputs!$F$26)^(18-1))</f>
        <v>775.71490307502916</v>
      </c>
      <c r="C30" s="35">
        <f>18*Inputs!$D$26*Inputs!$B$4*(1+Inputs!$F$26)^18</f>
        <v>841.87882127848752</v>
      </c>
      <c r="D30" s="35">
        <f t="shared" si="5"/>
        <v>66.163918203458365</v>
      </c>
      <c r="E30" s="35">
        <f>MIN(D30,MAX(Inputs!$B$14-B30,0))</f>
        <v>0</v>
      </c>
      <c r="F30" s="35">
        <f t="shared" si="6"/>
        <v>66.163918203458365</v>
      </c>
      <c r="G30" s="36">
        <f>F30*(Inputs!$B$18/Inputs!$B$19)</f>
        <v>1148.6791354767076</v>
      </c>
      <c r="H30" s="37">
        <f>Inputs!$E$26</f>
        <v>440</v>
      </c>
      <c r="I30" s="36">
        <f t="shared" si="7"/>
        <v>1588.6791354767076</v>
      </c>
      <c r="J30" s="37">
        <f>Inputs!$C$26</f>
        <v>2094</v>
      </c>
      <c r="K30" s="36">
        <f t="shared" si="8"/>
        <v>505.32086452329236</v>
      </c>
      <c r="L30" s="34" t="str">
        <f t="shared" si="9"/>
        <v>Yes</v>
      </c>
    </row>
    <row r="31" spans="1:12" x14ac:dyDescent="0.2">
      <c r="A31" s="34">
        <v>19</v>
      </c>
      <c r="B31" s="35">
        <f>IF(19-1&lt;=0,0,(19-1)*Inputs!$D$26*Inputs!$B$4*(1+Inputs!$F$26)^(19-1))</f>
        <v>841.87882127848752</v>
      </c>
      <c r="C31" s="35">
        <f>19*Inputs!$D$26*Inputs!$B$4*(1+Inputs!$F$26)^19</f>
        <v>910.86611357769698</v>
      </c>
      <c r="D31" s="35">
        <f t="shared" si="5"/>
        <v>68.987292299209457</v>
      </c>
      <c r="E31" s="35">
        <f>MIN(D31,MAX(Inputs!$B$14-B31,0))</f>
        <v>0</v>
      </c>
      <c r="F31" s="35">
        <f t="shared" si="6"/>
        <v>68.987292299209457</v>
      </c>
      <c r="G31" s="36">
        <f>F31*(Inputs!$B$18/Inputs!$B$19)</f>
        <v>1197.6960468612754</v>
      </c>
      <c r="H31" s="37">
        <f>Inputs!$E$26</f>
        <v>440</v>
      </c>
      <c r="I31" s="36">
        <f t="shared" si="7"/>
        <v>1637.6960468612754</v>
      </c>
      <c r="J31" s="37">
        <f>Inputs!$C$26</f>
        <v>2094</v>
      </c>
      <c r="K31" s="36">
        <f t="shared" si="8"/>
        <v>456.30395313872464</v>
      </c>
      <c r="L31" s="34" t="str">
        <f t="shared" si="9"/>
        <v>Yes</v>
      </c>
    </row>
    <row r="32" spans="1:12" x14ac:dyDescent="0.2">
      <c r="A32" s="38">
        <v>20</v>
      </c>
      <c r="B32" s="39">
        <f>IF(20-1&lt;=0,0,(20-1)*Inputs!$D$26*Inputs!$B$4*(1+Inputs!$F$26)^(20-1))</f>
        <v>910.86611357769698</v>
      </c>
      <c r="C32" s="39">
        <f>20*Inputs!$D$26*Inputs!$B$4*(1+Inputs!$F$26)^20</f>
        <v>982.77659622856766</v>
      </c>
      <c r="D32" s="39">
        <f t="shared" si="5"/>
        <v>71.910482650870676</v>
      </c>
      <c r="E32" s="39">
        <f>MIN(D32,MAX(Inputs!$B$14-B32,0))</f>
        <v>0</v>
      </c>
      <c r="F32" s="39">
        <f t="shared" si="6"/>
        <v>71.910482650870676</v>
      </c>
      <c r="G32" s="40">
        <f>F32*(Inputs!$B$18/Inputs!$B$19)</f>
        <v>1248.4458793553936</v>
      </c>
      <c r="H32" s="41">
        <f>Inputs!$E$26</f>
        <v>440</v>
      </c>
      <c r="I32" s="40">
        <f t="shared" si="7"/>
        <v>1688.4458793553936</v>
      </c>
      <c r="J32" s="41">
        <f>Inputs!$C$26</f>
        <v>2094</v>
      </c>
      <c r="K32" s="40">
        <f t="shared" si="8"/>
        <v>405.55412064460643</v>
      </c>
      <c r="L32" s="38" t="str">
        <f t="shared" si="9"/>
        <v>Yes</v>
      </c>
    </row>
    <row r="33" spans="1:12" x14ac:dyDescent="0.2">
      <c r="A33" s="38">
        <v>21</v>
      </c>
      <c r="B33" s="39">
        <f>IF(21-1&lt;=0,0,(21-1)*Inputs!$D$26*Inputs!$B$4*(1+Inputs!$F$26)^(21-1))</f>
        <v>982.77659622856766</v>
      </c>
      <c r="C33" s="39">
        <f>21*Inputs!$D$26*Inputs!$B$4*(1+Inputs!$F$26)^21</f>
        <v>1057.7133116909956</v>
      </c>
      <c r="D33" s="39">
        <f t="shared" si="5"/>
        <v>74.936715462427969</v>
      </c>
      <c r="E33" s="39">
        <f>MIN(D33,MAX(Inputs!$B$14-B33,0))</f>
        <v>0</v>
      </c>
      <c r="F33" s="39">
        <f t="shared" si="6"/>
        <v>74.936715462427969</v>
      </c>
      <c r="G33" s="40">
        <f>F33*(Inputs!$B$18/Inputs!$B$19)</f>
        <v>1300.98464344493</v>
      </c>
      <c r="H33" s="41">
        <f>Inputs!$E$26</f>
        <v>440</v>
      </c>
      <c r="I33" s="40">
        <f t="shared" si="7"/>
        <v>1740.98464344493</v>
      </c>
      <c r="J33" s="41">
        <f>Inputs!$C$26</f>
        <v>2094</v>
      </c>
      <c r="K33" s="40">
        <f t="shared" si="8"/>
        <v>353.01535655506996</v>
      </c>
      <c r="L33" s="38" t="str">
        <f t="shared" si="9"/>
        <v>Yes</v>
      </c>
    </row>
    <row r="35" spans="1:12" x14ac:dyDescent="0.2">
      <c r="A35" s="56" t="s">
        <v>114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</row>
    <row r="36" spans="1:12" x14ac:dyDescent="0.2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</row>
    <row r="38" spans="1:12" ht="16" x14ac:dyDescent="0.2">
      <c r="A38" s="32" t="s">
        <v>115</v>
      </c>
    </row>
    <row r="39" spans="1:12" ht="30" x14ac:dyDescent="0.2">
      <c r="A39" s="33" t="s">
        <v>100</v>
      </c>
      <c r="B39" s="33" t="s">
        <v>101</v>
      </c>
      <c r="C39" s="33" t="s">
        <v>102</v>
      </c>
      <c r="D39" s="33" t="s">
        <v>103</v>
      </c>
      <c r="E39" s="33" t="s">
        <v>104</v>
      </c>
      <c r="F39" s="33" t="s">
        <v>105</v>
      </c>
      <c r="G39" s="33" t="s">
        <v>106</v>
      </c>
      <c r="H39" s="33" t="s">
        <v>107</v>
      </c>
      <c r="I39" s="33" t="s">
        <v>108</v>
      </c>
      <c r="J39" s="33" t="s">
        <v>109</v>
      </c>
      <c r="K39" s="33" t="s">
        <v>110</v>
      </c>
      <c r="L39" s="33" t="s">
        <v>111</v>
      </c>
    </row>
    <row r="40" spans="1:12" x14ac:dyDescent="0.2">
      <c r="A40" s="34">
        <v>26</v>
      </c>
      <c r="B40" s="35">
        <f>IF(26-1&lt;=0,0,(26-1)*Inputs!$D$27*Inputs!$B$4*(1+Inputs!$F$27)^(26-1))</f>
        <v>1534.7170558625965</v>
      </c>
      <c r="C40" s="35">
        <f>26*Inputs!$D$27*Inputs!$B$4*(1+Inputs!$F$27)^26</f>
        <v>1616.0570598233144</v>
      </c>
      <c r="D40" s="35">
        <f t="shared" ref="D40:D45" si="10">C40-B40</f>
        <v>81.340003960717922</v>
      </c>
      <c r="E40" s="35">
        <f>MIN(D40,MAX(Inputs!$B$14-B40,0))</f>
        <v>0</v>
      </c>
      <c r="F40" s="35">
        <f t="shared" ref="F40:F45" si="11">D40-E40</f>
        <v>81.340003960717922</v>
      </c>
      <c r="G40" s="36">
        <f>F40*(Inputs!$B$18/Inputs!$B$19)</f>
        <v>1412.1528465402416</v>
      </c>
      <c r="H40" s="37">
        <f>Inputs!$E$27</f>
        <v>880</v>
      </c>
      <c r="I40" s="36">
        <f t="shared" ref="I40:I45" si="12">G40+H40</f>
        <v>2292.1528465402416</v>
      </c>
      <c r="J40" s="37">
        <f>Inputs!$C$27</f>
        <v>2700</v>
      </c>
      <c r="K40" s="36">
        <f t="shared" ref="K40:K45" si="13">J40-I40</f>
        <v>407.84715345975837</v>
      </c>
      <c r="L40" s="34" t="str">
        <f t="shared" ref="L40:L45" si="14">IF(K40&gt;=0,"Yes","No")</f>
        <v>Yes</v>
      </c>
    </row>
    <row r="41" spans="1:12" x14ac:dyDescent="0.2">
      <c r="A41" s="34">
        <v>27</v>
      </c>
      <c r="B41" s="35">
        <f>IF(27-1&lt;=0,0,(27-1)*Inputs!$D$27*Inputs!$B$4*(1+Inputs!$F$27)^(27-1))</f>
        <v>1616.0570598233144</v>
      </c>
      <c r="C41" s="35">
        <f>27*Inputs!$D$27*Inputs!$B$4*(1+Inputs!$F$27)^27</f>
        <v>1699.1907643430709</v>
      </c>
      <c r="D41" s="35">
        <f t="shared" si="10"/>
        <v>83.13370451975652</v>
      </c>
      <c r="E41" s="35">
        <f>MIN(D41,MAX(Inputs!$B$14-B41,0))</f>
        <v>0</v>
      </c>
      <c r="F41" s="35">
        <f t="shared" si="11"/>
        <v>83.13370451975652</v>
      </c>
      <c r="G41" s="36">
        <f>F41*(Inputs!$B$18/Inputs!$B$19)</f>
        <v>1443.2934812457729</v>
      </c>
      <c r="H41" s="37">
        <f>Inputs!$E$27</f>
        <v>880</v>
      </c>
      <c r="I41" s="36">
        <f t="shared" si="12"/>
        <v>2323.2934812457729</v>
      </c>
      <c r="J41" s="37">
        <f>Inputs!$C$27</f>
        <v>2700</v>
      </c>
      <c r="K41" s="36">
        <f t="shared" si="13"/>
        <v>376.70651875422709</v>
      </c>
      <c r="L41" s="34" t="str">
        <f t="shared" si="14"/>
        <v>Yes</v>
      </c>
    </row>
    <row r="42" spans="1:12" x14ac:dyDescent="0.2">
      <c r="A42" s="34">
        <v>28</v>
      </c>
      <c r="B42" s="35">
        <f>IF(28-1&lt;=0,0,(28-1)*Inputs!$D$27*Inputs!$B$4*(1+Inputs!$F$27)^(28-1))</f>
        <v>1699.1907643430709</v>
      </c>
      <c r="C42" s="35">
        <f>28*Inputs!$D$27*Inputs!$B$4*(1+Inputs!$F$27)^28</f>
        <v>1784.1503025602246</v>
      </c>
      <c r="D42" s="35">
        <f t="shared" si="10"/>
        <v>84.959538217153749</v>
      </c>
      <c r="E42" s="35">
        <f>MIN(D42,MAX(Inputs!$B$14-B42,0))</f>
        <v>0</v>
      </c>
      <c r="F42" s="35">
        <f t="shared" si="11"/>
        <v>84.959538217153749</v>
      </c>
      <c r="G42" s="36">
        <f>F42*(Inputs!$B$18/Inputs!$B$19)</f>
        <v>1474.991982936697</v>
      </c>
      <c r="H42" s="37">
        <f>Inputs!$E$27</f>
        <v>880</v>
      </c>
      <c r="I42" s="36">
        <f t="shared" si="12"/>
        <v>2354.9919829366972</v>
      </c>
      <c r="J42" s="37">
        <f>Inputs!$C$27</f>
        <v>2700</v>
      </c>
      <c r="K42" s="36">
        <f t="shared" si="13"/>
        <v>345.00801706330276</v>
      </c>
      <c r="L42" s="34" t="str">
        <f t="shared" si="14"/>
        <v>Yes</v>
      </c>
    </row>
    <row r="43" spans="1:12" x14ac:dyDescent="0.2">
      <c r="A43" s="34">
        <v>29</v>
      </c>
      <c r="B43" s="35">
        <f>IF(29-1&lt;=0,0,(29-1)*Inputs!$D$27*Inputs!$B$4*(1+Inputs!$F$27)^(29-1))</f>
        <v>1784.1503025602246</v>
      </c>
      <c r="C43" s="35">
        <f>29*Inputs!$D$27*Inputs!$B$4*(1+Inputs!$F$27)^29</f>
        <v>1870.9683306758782</v>
      </c>
      <c r="D43" s="35">
        <f t="shared" si="10"/>
        <v>86.818028115653533</v>
      </c>
      <c r="E43" s="35">
        <f>MIN(D43,MAX(Inputs!$B$14-B43,0))</f>
        <v>0</v>
      </c>
      <c r="F43" s="35">
        <f t="shared" si="11"/>
        <v>86.818028115653533</v>
      </c>
      <c r="G43" s="36">
        <f>F43*(Inputs!$B$18/Inputs!$B$19)</f>
        <v>1507.2574325634293</v>
      </c>
      <c r="H43" s="37">
        <f>Inputs!$E$27</f>
        <v>880</v>
      </c>
      <c r="I43" s="36">
        <f t="shared" si="12"/>
        <v>2387.2574325634296</v>
      </c>
      <c r="J43" s="37">
        <f>Inputs!$C$27</f>
        <v>2700</v>
      </c>
      <c r="K43" s="36">
        <f t="shared" si="13"/>
        <v>312.74256743657043</v>
      </c>
      <c r="L43" s="34" t="str">
        <f t="shared" si="14"/>
        <v>Yes</v>
      </c>
    </row>
    <row r="44" spans="1:12" x14ac:dyDescent="0.2">
      <c r="A44" s="38">
        <v>30</v>
      </c>
      <c r="B44" s="39">
        <f>IF(30-1&lt;=0,0,(30-1)*Inputs!$D$27*Inputs!$B$4*(1+Inputs!$F$27)^(30-1))</f>
        <v>1870.9683306758782</v>
      </c>
      <c r="C44" s="39">
        <f>30*Inputs!$D$27*Inputs!$B$4*(1+Inputs!$F$27)^30</f>
        <v>1959.6780360096488</v>
      </c>
      <c r="D44" s="39">
        <f t="shared" si="10"/>
        <v>88.709705333770671</v>
      </c>
      <c r="E44" s="39">
        <f>MIN(D44,MAX(Inputs!$B$14-B44,0))</f>
        <v>0</v>
      </c>
      <c r="F44" s="39">
        <f t="shared" si="11"/>
        <v>88.709705333770671</v>
      </c>
      <c r="G44" s="40">
        <f>F44*(Inputs!$B$18/Inputs!$B$19)</f>
        <v>1540.0990509335186</v>
      </c>
      <c r="H44" s="41">
        <f>Inputs!$E$27</f>
        <v>880</v>
      </c>
      <c r="I44" s="40">
        <f t="shared" si="12"/>
        <v>2420.0990509335188</v>
      </c>
      <c r="J44" s="41">
        <f>Inputs!$C$27</f>
        <v>2700</v>
      </c>
      <c r="K44" s="40">
        <f t="shared" si="13"/>
        <v>279.90094906648119</v>
      </c>
      <c r="L44" s="38" t="str">
        <f t="shared" si="14"/>
        <v>Yes</v>
      </c>
    </row>
    <row r="45" spans="1:12" x14ac:dyDescent="0.2">
      <c r="A45" s="38">
        <v>31</v>
      </c>
      <c r="B45" s="39">
        <f>IF(31-1&lt;=0,0,(31-1)*Inputs!$D$27*Inputs!$B$4*(1+Inputs!$F$27)^(31-1))</f>
        <v>1959.6780360096488</v>
      </c>
      <c r="C45" s="39">
        <f>31*Inputs!$D$27*Inputs!$B$4*(1+Inputs!$F$27)^31</f>
        <v>2050.3131451750946</v>
      </c>
      <c r="D45" s="39">
        <f t="shared" si="10"/>
        <v>90.635109165445783</v>
      </c>
      <c r="E45" s="39">
        <f>MIN(D45,MAX(Inputs!$B$14-B45,0))</f>
        <v>0</v>
      </c>
      <c r="F45" s="39">
        <f t="shared" si="11"/>
        <v>90.635109165445783</v>
      </c>
      <c r="G45" s="40">
        <f>F45*(Inputs!$B$18/Inputs!$B$19)</f>
        <v>1573.5262007889892</v>
      </c>
      <c r="H45" s="41">
        <f>Inputs!$E$27</f>
        <v>880</v>
      </c>
      <c r="I45" s="40">
        <f t="shared" si="12"/>
        <v>2453.5262007889892</v>
      </c>
      <c r="J45" s="41">
        <f>Inputs!$C$27</f>
        <v>2700</v>
      </c>
      <c r="K45" s="40">
        <f t="shared" si="13"/>
        <v>246.47379921101083</v>
      </c>
      <c r="L45" s="38" t="str">
        <f t="shared" si="14"/>
        <v>Yes</v>
      </c>
    </row>
    <row r="47" spans="1:12" x14ac:dyDescent="0.2">
      <c r="A47" s="56" t="s">
        <v>116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</row>
    <row r="48" spans="1:12" x14ac:dyDescent="0.2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</row>
    <row r="50" spans="1:12" x14ac:dyDescent="0.2">
      <c r="A50" s="42" t="s">
        <v>117</v>
      </c>
      <c r="B50" s="43"/>
      <c r="C50" s="43"/>
      <c r="D50" s="43"/>
      <c r="E50" s="43"/>
      <c r="F50" s="43"/>
    </row>
    <row r="51" spans="1:12" x14ac:dyDescent="0.2">
      <c r="A51" s="44" t="s">
        <v>118</v>
      </c>
      <c r="B51" s="45">
        <v>10</v>
      </c>
    </row>
    <row r="52" spans="1:12" x14ac:dyDescent="0.2">
      <c r="A52" s="44" t="s">
        <v>119</v>
      </c>
      <c r="B52" s="45">
        <v>20</v>
      </c>
    </row>
    <row r="53" spans="1:12" x14ac:dyDescent="0.2">
      <c r="A53" s="44" t="s">
        <v>120</v>
      </c>
      <c r="B53" s="45">
        <v>30</v>
      </c>
    </row>
    <row r="54" spans="1:12" x14ac:dyDescent="0.2">
      <c r="A54" s="44" t="s">
        <v>34</v>
      </c>
      <c r="B54" s="46">
        <f>SUM(B51:B53)</f>
        <v>60</v>
      </c>
    </row>
    <row r="55" spans="1:12" x14ac:dyDescent="0.2">
      <c r="A55" s="44" t="s">
        <v>121</v>
      </c>
      <c r="B55" s="47">
        <f>Inputs!B5</f>
        <v>64</v>
      </c>
    </row>
    <row r="56" spans="1:12" x14ac:dyDescent="0.2">
      <c r="A56" s="44" t="s">
        <v>122</v>
      </c>
      <c r="B56" s="46">
        <f>B55-B54</f>
        <v>4</v>
      </c>
    </row>
    <row r="57" spans="1:12" x14ac:dyDescent="0.2">
      <c r="A57" s="44" t="s">
        <v>123</v>
      </c>
      <c r="B57" s="35">
        <f>B51*Inputs!D25*Inputs!B4*(1+Inputs!F25)^B51+B52*Inputs!D26*Inputs!B4*(1+Inputs!F26)^B52+B53*Inputs!D27*Inputs!B4*(1+Inputs!F27)^B53</f>
        <v>5276.8228463282185</v>
      </c>
    </row>
    <row r="58" spans="1:12" x14ac:dyDescent="0.2">
      <c r="A58" s="44" t="s">
        <v>124</v>
      </c>
      <c r="B58" s="46">
        <f>ROUNDUP(MAX(B57-Inputs!B14,0)/Inputs!B19,0)</f>
        <v>4</v>
      </c>
    </row>
    <row r="59" spans="1:12" x14ac:dyDescent="0.2">
      <c r="A59" s="44" t="s">
        <v>17</v>
      </c>
      <c r="B59" s="47">
        <f>Inputs!B21</f>
        <v>4</v>
      </c>
    </row>
    <row r="60" spans="1:12" x14ac:dyDescent="0.2">
      <c r="A60" s="44" t="s">
        <v>125</v>
      </c>
      <c r="B60" s="46">
        <f>B59-B58</f>
        <v>0</v>
      </c>
    </row>
    <row r="62" spans="1:12" ht="15" customHeight="1" x14ac:dyDescent="0.2">
      <c r="A62" s="56" t="s">
        <v>126</v>
      </c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</row>
    <row r="63" spans="1:12" ht="15" customHeight="1" x14ac:dyDescent="0.2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</row>
    <row r="64" spans="1:12" ht="15" customHeight="1" x14ac:dyDescent="0.2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</row>
    <row r="66" spans="1:12" x14ac:dyDescent="0.2">
      <c r="A66" s="42" t="s">
        <v>127</v>
      </c>
      <c r="B66" s="43"/>
      <c r="C66" s="43"/>
      <c r="D66" s="43"/>
      <c r="E66" s="43"/>
      <c r="F66" s="43"/>
    </row>
    <row r="67" spans="1:12" ht="15" customHeight="1" x14ac:dyDescent="0.2">
      <c r="A67" s="56" t="s">
        <v>128</v>
      </c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</row>
    <row r="68" spans="1:12" ht="15" customHeight="1" x14ac:dyDescent="0.2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2" ht="15" customHeight="1" x14ac:dyDescent="0.2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</row>
  </sheetData>
  <mergeCells count="7">
    <mergeCell ref="A1:K1"/>
    <mergeCell ref="A67:L69"/>
    <mergeCell ref="A47:L48"/>
    <mergeCell ref="A3:K5"/>
    <mergeCell ref="A35:L36"/>
    <mergeCell ref="A22:L24"/>
    <mergeCell ref="A62:L6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"/>
  <sheetViews>
    <sheetView workbookViewId="0">
      <selection sqref="A1:E1"/>
    </sheetView>
  </sheetViews>
  <sheetFormatPr baseColWidth="10" defaultColWidth="8.83203125" defaultRowHeight="15" x14ac:dyDescent="0.2"/>
  <cols>
    <col min="1" max="1" width="46" customWidth="1"/>
    <col min="2" max="5" width="15" customWidth="1"/>
  </cols>
  <sheetData>
    <row r="1" spans="1:5" ht="18" customHeight="1" x14ac:dyDescent="0.2">
      <c r="A1" s="58" t="s">
        <v>129</v>
      </c>
      <c r="B1" s="52"/>
      <c r="C1" s="52"/>
      <c r="D1" s="52"/>
      <c r="E1" s="52"/>
    </row>
    <row r="3" spans="1:5" x14ac:dyDescent="0.2">
      <c r="A3" s="27"/>
      <c r="B3" s="27" t="s">
        <v>25</v>
      </c>
      <c r="C3" s="27" t="s">
        <v>26</v>
      </c>
      <c r="D3" s="27" t="s">
        <v>27</v>
      </c>
      <c r="E3" s="27" t="s">
        <v>80</v>
      </c>
    </row>
    <row r="4" spans="1:5" x14ac:dyDescent="0.2">
      <c r="A4" s="4" t="s">
        <v>130</v>
      </c>
      <c r="B4" s="16">
        <f>'Solver Model'!B4</f>
        <v>10</v>
      </c>
      <c r="C4" s="16">
        <f>'Solver Model'!B5</f>
        <v>19</v>
      </c>
      <c r="D4" s="16">
        <f>'Solver Model'!B6</f>
        <v>28</v>
      </c>
      <c r="E4" s="28">
        <f>SUM(B4:D4)</f>
        <v>57</v>
      </c>
    </row>
    <row r="5" spans="1:5" x14ac:dyDescent="0.2">
      <c r="A5" s="4" t="s">
        <v>131</v>
      </c>
      <c r="B5" s="26">
        <f>B4*Inputs!C25</f>
        <v>88000</v>
      </c>
      <c r="C5" s="26">
        <f>C4*Inputs!C26</f>
        <v>39786</v>
      </c>
      <c r="D5" s="26">
        <f>D4*Inputs!C27</f>
        <v>75600</v>
      </c>
      <c r="E5" s="29">
        <f>SUM(B5:D5)</f>
        <v>203386</v>
      </c>
    </row>
    <row r="6" spans="1:5" x14ac:dyDescent="0.2">
      <c r="A6" s="4" t="s">
        <v>132</v>
      </c>
      <c r="B6" s="26">
        <f>B4*Inputs!E25</f>
        <v>8800</v>
      </c>
      <c r="C6" s="26">
        <f>C4*Inputs!E26</f>
        <v>8360</v>
      </c>
      <c r="D6" s="26">
        <f>D4*Inputs!E27</f>
        <v>24640</v>
      </c>
      <c r="E6" s="29">
        <f>SUM(B6:D6)</f>
        <v>41800</v>
      </c>
    </row>
    <row r="8" spans="1:5" x14ac:dyDescent="0.2">
      <c r="A8" s="2" t="s">
        <v>133</v>
      </c>
      <c r="B8" s="3"/>
      <c r="C8" s="3"/>
      <c r="D8" s="3"/>
      <c r="E8" s="3"/>
    </row>
    <row r="9" spans="1:5" x14ac:dyDescent="0.2">
      <c r="A9" s="4" t="s">
        <v>134</v>
      </c>
      <c r="B9" s="30">
        <f>Engine!F9</f>
        <v>5029.3846302279235</v>
      </c>
    </row>
    <row r="10" spans="1:5" x14ac:dyDescent="0.2">
      <c r="A10" s="4" t="s">
        <v>135</v>
      </c>
      <c r="B10" s="30">
        <f>Inputs!B14</f>
        <v>720</v>
      </c>
    </row>
    <row r="11" spans="1:5" x14ac:dyDescent="0.2">
      <c r="A11" s="4" t="s">
        <v>136</v>
      </c>
      <c r="B11" s="8">
        <f>MIN(B9,B10)</f>
        <v>720</v>
      </c>
    </row>
    <row r="12" spans="1:5" x14ac:dyDescent="0.2">
      <c r="A12" s="4" t="s">
        <v>137</v>
      </c>
      <c r="B12" s="8">
        <f>MAX(B9-B10,0)</f>
        <v>4309.3846302279235</v>
      </c>
    </row>
    <row r="13" spans="1:5" x14ac:dyDescent="0.2">
      <c r="A13" s="4" t="s">
        <v>138</v>
      </c>
      <c r="B13" s="15">
        <f>ROUNDUP(B12/Inputs!B19,0)</f>
        <v>3</v>
      </c>
    </row>
    <row r="14" spans="1:5" x14ac:dyDescent="0.2">
      <c r="A14" s="4" t="s">
        <v>139</v>
      </c>
      <c r="B14" s="11" t="str">
        <f>IF(B13&gt;Inputs!B21,"INFEASIBLE — exceeds 4 workers","OK")</f>
        <v>OK</v>
      </c>
    </row>
    <row r="15" spans="1:5" x14ac:dyDescent="0.2">
      <c r="A15" s="4" t="s">
        <v>140</v>
      </c>
      <c r="B15" s="15">
        <f>MIN(B13,Inputs!B21)</f>
        <v>3</v>
      </c>
    </row>
    <row r="16" spans="1:5" x14ac:dyDescent="0.2">
      <c r="A16" s="4" t="s">
        <v>141</v>
      </c>
      <c r="B16" s="26">
        <f>B15*Inputs!B18</f>
        <v>75000</v>
      </c>
    </row>
    <row r="18" spans="1:5" x14ac:dyDescent="0.2">
      <c r="A18" s="2" t="s">
        <v>142</v>
      </c>
      <c r="B18" s="3"/>
      <c r="C18" s="3"/>
      <c r="D18" s="3"/>
      <c r="E18" s="3"/>
    </row>
    <row r="19" spans="1:5" x14ac:dyDescent="0.2">
      <c r="A19" s="4" t="s">
        <v>143</v>
      </c>
      <c r="B19" s="17">
        <f>Inputs!B11</f>
        <v>50000</v>
      </c>
    </row>
    <row r="20" spans="1:5" x14ac:dyDescent="0.2">
      <c r="A20" s="4" t="s">
        <v>144</v>
      </c>
      <c r="B20" s="17">
        <f>Inputs!B8</f>
        <v>20000</v>
      </c>
    </row>
    <row r="22" spans="1:5" x14ac:dyDescent="0.2">
      <c r="A22" s="21" t="s">
        <v>145</v>
      </c>
      <c r="B22" s="29">
        <f>E5-E6-B16-B19-B20</f>
        <v>16586</v>
      </c>
    </row>
    <row r="24" spans="1:5" ht="18" customHeight="1" x14ac:dyDescent="0.2">
      <c r="A24" s="58" t="s">
        <v>146</v>
      </c>
      <c r="B24" s="52"/>
      <c r="C24" s="52"/>
      <c r="D24" s="52"/>
      <c r="E24" s="52"/>
    </row>
    <row r="25" spans="1:5" x14ac:dyDescent="0.2">
      <c r="A25" s="4" t="s">
        <v>147</v>
      </c>
      <c r="B25" s="26">
        <f>B19+B16</f>
        <v>125000</v>
      </c>
    </row>
    <row r="26" spans="1:5" x14ac:dyDescent="0.2">
      <c r="A26" s="4" t="s">
        <v>148</v>
      </c>
      <c r="B26" s="8">
        <f>B10+B15*Inputs!B19</f>
        <v>5040</v>
      </c>
    </row>
    <row r="27" spans="1:5" x14ac:dyDescent="0.2">
      <c r="A27" s="4" t="s">
        <v>149</v>
      </c>
      <c r="B27" s="9">
        <f>IF(B26=0,0,B25/B26)</f>
        <v>24.801587301587301</v>
      </c>
    </row>
    <row r="28" spans="1:5" x14ac:dyDescent="0.2">
      <c r="A28" s="4" t="s">
        <v>150</v>
      </c>
      <c r="B28" s="26">
        <f>B9*B27</f>
        <v>124736.72197985921</v>
      </c>
    </row>
    <row r="29" spans="1:5" x14ac:dyDescent="0.2">
      <c r="A29" s="21" t="s">
        <v>151</v>
      </c>
      <c r="B29" s="29">
        <f>E5-E6-B28-B20</f>
        <v>16849.278020140788</v>
      </c>
    </row>
    <row r="31" spans="1:5" x14ac:dyDescent="0.2">
      <c r="A31" s="51" t="s">
        <v>152</v>
      </c>
      <c r="B31" s="52"/>
      <c r="C31" s="52"/>
      <c r="D31" s="52"/>
      <c r="E31" s="52"/>
    </row>
    <row r="32" spans="1:5" x14ac:dyDescent="0.2">
      <c r="A32" s="52"/>
      <c r="B32" s="52"/>
      <c r="C32" s="52"/>
      <c r="D32" s="52"/>
      <c r="E32" s="52"/>
    </row>
    <row r="33" spans="1:5" x14ac:dyDescent="0.2">
      <c r="A33" s="52"/>
      <c r="B33" s="52"/>
      <c r="C33" s="52"/>
      <c r="D33" s="52"/>
      <c r="E33" s="52"/>
    </row>
    <row r="34" spans="1:5" x14ac:dyDescent="0.2">
      <c r="A34" s="52"/>
      <c r="B34" s="52"/>
      <c r="C34" s="52"/>
      <c r="D34" s="52"/>
      <c r="E34" s="52"/>
    </row>
  </sheetData>
  <mergeCells count="3">
    <mergeCell ref="A31:E34"/>
    <mergeCell ref="A1:E1"/>
    <mergeCell ref="A24:E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6"/>
  <sheetViews>
    <sheetView workbookViewId="0"/>
  </sheetViews>
  <sheetFormatPr baseColWidth="10" defaultColWidth="8.83203125" defaultRowHeight="15" x14ac:dyDescent="0.2"/>
  <cols>
    <col min="1" max="1" width="46" customWidth="1"/>
    <col min="2" max="4" width="18" customWidth="1"/>
  </cols>
  <sheetData>
    <row r="1" spans="1:2" ht="18" customHeight="1" x14ac:dyDescent="0.2">
      <c r="A1" s="13" t="s">
        <v>153</v>
      </c>
    </row>
    <row r="3" spans="1:2" x14ac:dyDescent="0.2">
      <c r="A3" s="2" t="s">
        <v>154</v>
      </c>
      <c r="B3" s="3"/>
    </row>
    <row r="4" spans="1:2" x14ac:dyDescent="0.2">
      <c r="A4" s="4" t="s">
        <v>155</v>
      </c>
      <c r="B4" s="8">
        <f>1*Inputs!D25*Inputs!B4*(1+Inputs!F25)^1</f>
        <v>99.000000000000014</v>
      </c>
    </row>
    <row r="5" spans="1:2" x14ac:dyDescent="0.2">
      <c r="A5" s="4" t="s">
        <v>156</v>
      </c>
      <c r="B5" s="8">
        <f>1*2.5*36*1.1</f>
        <v>99.000000000000014</v>
      </c>
    </row>
    <row r="6" spans="1:2" x14ac:dyDescent="0.2">
      <c r="A6" s="4" t="s">
        <v>96</v>
      </c>
      <c r="B6" s="11" t="str">
        <f>IF(ROUND(B4,6)=ROUND(B5,6),"MATCH ("&amp;TEXT(B4,"0.00")&amp;" hours)","MISMATCH — review Inputs vs hand figures")</f>
        <v>MATCH (99.00 hours)</v>
      </c>
    </row>
    <row r="7" spans="1:2" x14ac:dyDescent="0.2">
      <c r="A7" s="51" t="s">
        <v>157</v>
      </c>
      <c r="B7" s="52"/>
    </row>
    <row r="9" spans="1:2" x14ac:dyDescent="0.2">
      <c r="A9" s="2" t="s">
        <v>158</v>
      </c>
      <c r="B9" s="3"/>
    </row>
    <row r="10" spans="1:2" x14ac:dyDescent="0.2">
      <c r="A10" s="4" t="s">
        <v>159</v>
      </c>
      <c r="B10" s="37">
        <f>Engine!B24</f>
        <v>8248.586534375012</v>
      </c>
    </row>
    <row r="11" spans="1:2" x14ac:dyDescent="0.2">
      <c r="A11" s="4" t="s">
        <v>160</v>
      </c>
      <c r="B11" s="37">
        <f>Engine!B26</f>
        <v>551.41346562498802</v>
      </c>
    </row>
    <row r="12" spans="1:2" x14ac:dyDescent="0.2">
      <c r="A12" s="44" t="s">
        <v>161</v>
      </c>
      <c r="B12" s="37">
        <f>Engine!B28</f>
        <v>0</v>
      </c>
    </row>
    <row r="13" spans="1:2" x14ac:dyDescent="0.2">
      <c r="A13" s="4" t="s">
        <v>96</v>
      </c>
      <c r="B13" s="50" t="str">
        <f>Engine!B29</f>
        <v>Pending — paste Farm Profit Lab figure</v>
      </c>
    </row>
    <row r="15" spans="1:2" x14ac:dyDescent="0.2">
      <c r="A15" s="2" t="s">
        <v>162</v>
      </c>
      <c r="B15" s="3"/>
    </row>
    <row r="16" spans="1:2" x14ac:dyDescent="0.2">
      <c r="A16" s="4" t="s">
        <v>163</v>
      </c>
      <c r="B16" s="11" t="str">
        <f>'Solver Model'!E38&amp;" / "&amp;'Solver Model'!F38&amp;" / "&amp;'Solver Model'!G38</f>
        <v>13 / 10 / 30</v>
      </c>
    </row>
    <row r="17" spans="1:4" x14ac:dyDescent="0.2">
      <c r="A17" s="4" t="s">
        <v>164</v>
      </c>
      <c r="B17" s="17">
        <f>'Solver Model'!H38</f>
        <v>4100</v>
      </c>
    </row>
    <row r="18" spans="1:4" x14ac:dyDescent="0.2">
      <c r="A18" s="4" t="s">
        <v>165</v>
      </c>
      <c r="B18" s="11" t="str">
        <f>'Solver Model'!E39&amp;" / "&amp;'Solver Model'!F39&amp;" / "&amp;'Solver Model'!G39</f>
        <v>10 / 19 / 28</v>
      </c>
    </row>
    <row r="19" spans="1:4" x14ac:dyDescent="0.2">
      <c r="A19" s="4" t="s">
        <v>166</v>
      </c>
      <c r="B19" s="17">
        <f>'Solver Model'!H39</f>
        <v>16586</v>
      </c>
    </row>
    <row r="20" spans="1:4" x14ac:dyDescent="0.2">
      <c r="A20" s="4" t="s">
        <v>167</v>
      </c>
      <c r="B20" s="59" t="str">
        <f>'Solver Model'!B41</f>
        <v>Path-dependent: the two starts converge to different local optima (Run 1 profit $4,100 vs Run 2 profit $16,586). Report the higher-profit run; the (1+dim%)^q term makes the objective non-convex, so GRG Nonlinear is only guaranteed to find a local optimum.</v>
      </c>
      <c r="C20" s="52"/>
      <c r="D20" s="52"/>
    </row>
    <row r="21" spans="1:4" x14ac:dyDescent="0.2">
      <c r="B21" s="52"/>
      <c r="C21" s="52"/>
      <c r="D21" s="52"/>
    </row>
    <row r="22" spans="1:4" x14ac:dyDescent="0.2">
      <c r="B22" s="52"/>
      <c r="C22" s="52"/>
      <c r="D22" s="52"/>
    </row>
    <row r="23" spans="1:4" x14ac:dyDescent="0.2">
      <c r="B23" s="52"/>
      <c r="C23" s="52"/>
      <c r="D23" s="52"/>
    </row>
    <row r="25" spans="1:4" x14ac:dyDescent="0.2">
      <c r="A25" s="2" t="s">
        <v>168</v>
      </c>
      <c r="B25" s="3"/>
      <c r="C25" s="3"/>
      <c r="D25" s="3"/>
    </row>
    <row r="26" spans="1:4" x14ac:dyDescent="0.2">
      <c r="A26" s="27" t="s">
        <v>169</v>
      </c>
      <c r="B26" s="27" t="s">
        <v>170</v>
      </c>
      <c r="C26" s="27" t="s">
        <v>171</v>
      </c>
      <c r="D26" s="27" t="s">
        <v>172</v>
      </c>
    </row>
    <row r="27" spans="1:4" x14ac:dyDescent="0.2">
      <c r="A27" s="4" t="s">
        <v>173</v>
      </c>
      <c r="B27" s="16">
        <f>'Solver Model'!B4</f>
        <v>10</v>
      </c>
      <c r="C27" s="16">
        <f>Inputs!B25</f>
        <v>20</v>
      </c>
      <c r="D27" s="11" t="str">
        <f t="shared" ref="D27:D32" si="0">IF(B27&lt;=C27,"OK","EXCEEDS")</f>
        <v>OK</v>
      </c>
    </row>
    <row r="28" spans="1:4" x14ac:dyDescent="0.2">
      <c r="A28" s="4" t="s">
        <v>174</v>
      </c>
      <c r="B28" s="16">
        <f>'Solver Model'!B5</f>
        <v>19</v>
      </c>
      <c r="C28" s="16">
        <f>Inputs!B26</f>
        <v>20</v>
      </c>
      <c r="D28" s="11" t="str">
        <f t="shared" si="0"/>
        <v>OK</v>
      </c>
    </row>
    <row r="29" spans="1:4" x14ac:dyDescent="0.2">
      <c r="A29" s="4" t="s">
        <v>175</v>
      </c>
      <c r="B29" s="16">
        <f>'Solver Model'!B6</f>
        <v>28</v>
      </c>
      <c r="C29" s="16">
        <f>Inputs!B27</f>
        <v>30</v>
      </c>
      <c r="D29" s="11" t="str">
        <f t="shared" si="0"/>
        <v>OK</v>
      </c>
    </row>
    <row r="30" spans="1:4" x14ac:dyDescent="0.2">
      <c r="A30" s="4" t="s">
        <v>176</v>
      </c>
      <c r="B30" s="16">
        <f>'Solver Model'!B7</f>
        <v>57</v>
      </c>
      <c r="C30" s="16">
        <f>Inputs!B5</f>
        <v>64</v>
      </c>
      <c r="D30" s="11" t="str">
        <f t="shared" si="0"/>
        <v>OK</v>
      </c>
    </row>
    <row r="31" spans="1:4" x14ac:dyDescent="0.2">
      <c r="A31" s="4" t="s">
        <v>177</v>
      </c>
      <c r="B31" s="16">
        <f>'P&amp;L'!B13</f>
        <v>3</v>
      </c>
      <c r="C31" s="16">
        <f>Inputs!B21</f>
        <v>4</v>
      </c>
      <c r="D31" s="11" t="str">
        <f t="shared" si="0"/>
        <v>OK</v>
      </c>
    </row>
    <row r="32" spans="1:4" x14ac:dyDescent="0.2">
      <c r="A32" s="4" t="s">
        <v>178</v>
      </c>
      <c r="B32" s="30">
        <f>Engine!F9</f>
        <v>5029.3846302279235</v>
      </c>
      <c r="C32" s="30">
        <f>Inputs!B14+Inputs!B21*Inputs!B19</f>
        <v>6480</v>
      </c>
      <c r="D32" s="11" t="str">
        <f t="shared" si="0"/>
        <v>OK</v>
      </c>
    </row>
    <row r="34" spans="1:4" x14ac:dyDescent="0.2">
      <c r="A34" s="2" t="s">
        <v>179</v>
      </c>
      <c r="B34" s="3"/>
    </row>
    <row r="35" spans="1:4" x14ac:dyDescent="0.2">
      <c r="A35" s="51" t="s">
        <v>180</v>
      </c>
      <c r="B35" s="52"/>
      <c r="C35" s="52"/>
      <c r="D35" s="52"/>
    </row>
    <row r="36" spans="1:4" x14ac:dyDescent="0.2">
      <c r="A36" s="52"/>
      <c r="B36" s="52"/>
      <c r="C36" s="52"/>
      <c r="D36" s="52"/>
    </row>
    <row r="37" spans="1:4" x14ac:dyDescent="0.2">
      <c r="A37" s="52"/>
      <c r="B37" s="52"/>
      <c r="C37" s="52"/>
      <c r="D37" s="52"/>
    </row>
    <row r="38" spans="1:4" x14ac:dyDescent="0.2">
      <c r="A38" s="52"/>
      <c r="B38" s="52"/>
      <c r="C38" s="52"/>
      <c r="D38" s="52"/>
    </row>
    <row r="39" spans="1:4" x14ac:dyDescent="0.2">
      <c r="A39" s="52"/>
      <c r="B39" s="52"/>
      <c r="C39" s="52"/>
      <c r="D39" s="52"/>
    </row>
    <row r="41" spans="1:4" x14ac:dyDescent="0.2">
      <c r="A41" s="21" t="s">
        <v>181</v>
      </c>
    </row>
    <row r="42" spans="1:4" x14ac:dyDescent="0.2">
      <c r="A42" s="31" t="s">
        <v>182</v>
      </c>
      <c r="B42" s="31" t="s">
        <v>183</v>
      </c>
      <c r="C42" s="31" t="s">
        <v>184</v>
      </c>
    </row>
    <row r="43" spans="1:4" x14ac:dyDescent="0.2">
      <c r="A43" s="4" t="s">
        <v>185</v>
      </c>
      <c r="B43" s="4" t="s">
        <v>186</v>
      </c>
      <c r="C43" s="4" t="s">
        <v>187</v>
      </c>
    </row>
    <row r="44" spans="1:4" x14ac:dyDescent="0.2">
      <c r="A44" s="4" t="s">
        <v>188</v>
      </c>
      <c r="B44" s="4" t="s">
        <v>189</v>
      </c>
      <c r="C44" s="4" t="s">
        <v>190</v>
      </c>
    </row>
    <row r="45" spans="1:4" x14ac:dyDescent="0.2">
      <c r="A45" s="4" t="s">
        <v>191</v>
      </c>
      <c r="B45" s="4" t="s">
        <v>192</v>
      </c>
      <c r="C45" s="4" t="s">
        <v>187</v>
      </c>
    </row>
    <row r="46" spans="1:4" x14ac:dyDescent="0.2">
      <c r="A46" s="4" t="s">
        <v>193</v>
      </c>
      <c r="B46" s="4" t="s">
        <v>186</v>
      </c>
      <c r="C46" s="4" t="s">
        <v>187</v>
      </c>
    </row>
  </sheetData>
  <mergeCells count="3">
    <mergeCell ref="B20:D23"/>
    <mergeCell ref="A35:D39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Solver Model</vt:lpstr>
      <vt:lpstr>Engine</vt:lpstr>
      <vt:lpstr>Marginal Analysis</vt:lpstr>
      <vt:lpstr>P&amp;L</vt:lpstr>
      <vt:lpstr>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2026-08-23T04:21:23Z</dcterms:created>
  <dcterms:modified xsi:type="dcterms:W3CDTF">2026-08-24T02:52:28Z</dcterms:modified>
</cp:coreProperties>
</file>